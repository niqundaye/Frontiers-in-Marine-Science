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9920924e5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ld Bank FAO" sheetId="1" r:id="R08156eea567241b6"/>
    <x:sheet xmlns:r="http://schemas.openxmlformats.org/officeDocument/2006/relationships" name="MOA Annual" sheetId="2" r:id="Rb20ef625f1624b65"/>
    <x:sheet xmlns:r="http://schemas.openxmlformats.org/officeDocument/2006/relationships" name="MOA 2024 Detail" sheetId="3" r:id="R6684363ea5aa4080"/>
    <x:sheet xmlns:r="http://schemas.openxmlformats.org/officeDocument/2006/relationships" name="Environment 2024" sheetId="4" r:id="R1b650a986aa34698"/>
    <x:sheet xmlns:r="http://schemas.openxmlformats.org/officeDocument/2006/relationships" name="Latest Official" sheetId="5" r:id="R60adbca9c8474aec"/>
    <x:sheet xmlns:r="http://schemas.openxmlformats.org/officeDocument/2006/relationships" name="NBS 2024 Provinces" sheetId="6" r:id="Re6a9d7edc8974d11"/>
    <x:sheet xmlns:r="http://schemas.openxmlformats.org/officeDocument/2006/relationships" name="NBS Field Dictionary" sheetId="7" r:id="R5b5a5e0e5a784bfd"/>
    <x:sheet xmlns:r="http://schemas.openxmlformats.org/officeDocument/2006/relationships" name="NBS National QC" sheetId="8" r:id="Rbd94b78c41e5443f"/>
    <x:sheet xmlns:r="http://schemas.openxmlformats.org/officeDocument/2006/relationships" name="Source Catalog" sheetId="9" r:id="R03089fa636a44783"/>
    <x:sheet xmlns:r="http://schemas.openxmlformats.org/officeDocument/2006/relationships" name="Notes" sheetId="10" r:id="R6ddad8d6835e4691"/>
    <x:sheet xmlns:r="http://schemas.openxmlformats.org/officeDocument/2006/relationships" name="Field Dictionary" sheetId="11" r:id="R44129eb1a8ec47fc"/>
    <x:sheet xmlns:r="http://schemas.openxmlformats.org/officeDocument/2006/relationships" name="QC Checks" sheetId="12" r:id="R395f6b283a89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0"/>
    <x:numFmt numFmtId="202" formatCode="#,##0.00"/>
    <x:numFmt numFmtId="203" formatCode="#,##0.000000"/>
  </x:numFmts>
  <x:fonts count="5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2"/>
      <x:color rgb="FFFFFFFF"/>
      <x:name val="Aptos Display"/>
    </x:font>
    <x:font>
      <x:b/>
      <x:sz val="10"/>
      <x:color rgb="FF92400E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1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1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9532506fa4cb5" /><Relationship Type="http://schemas.openxmlformats.org/officeDocument/2006/relationships/theme" Target="/xl/theme/theme1.xml" Id="Rf70c00ac8f7c4010" /><Relationship Type="http://schemas.openxmlformats.org/officeDocument/2006/relationships/sharedStrings" Target="/xl/sharedStrings.xml" Id="Re66be8bacbab4a33" /><Relationship Type="http://schemas.openxmlformats.org/officeDocument/2006/relationships/worksheet" Target="/xl/worksheets/sheet1.xml" Id="R08156eea567241b6" /><Relationship Type="http://schemas.openxmlformats.org/officeDocument/2006/relationships/worksheet" Target="/xl/worksheets/sheet2.xml" Id="Rb20ef625f1624b65" /><Relationship Type="http://schemas.openxmlformats.org/officeDocument/2006/relationships/worksheet" Target="/xl/worksheets/sheet3.xml" Id="R6684363ea5aa4080" /><Relationship Type="http://schemas.openxmlformats.org/officeDocument/2006/relationships/worksheet" Target="/xl/worksheets/sheet4.xml" Id="R1b650a986aa34698" /><Relationship Type="http://schemas.openxmlformats.org/officeDocument/2006/relationships/worksheet" Target="/xl/worksheets/sheet5.xml" Id="R60adbca9c8474aec" /><Relationship Type="http://schemas.openxmlformats.org/officeDocument/2006/relationships/worksheet" Target="/xl/worksheets/sheet6.xml" Id="Re6a9d7edc8974d11" /><Relationship Type="http://schemas.openxmlformats.org/officeDocument/2006/relationships/worksheet" Target="/xl/worksheets/sheet7.xml" Id="R5b5a5e0e5a784bfd" /><Relationship Type="http://schemas.openxmlformats.org/officeDocument/2006/relationships/worksheet" Target="/xl/worksheets/sheet8.xml" Id="Rbd94b78c41e5443f" /><Relationship Type="http://schemas.openxmlformats.org/officeDocument/2006/relationships/worksheet" Target="/xl/worksheets/sheet9.xml" Id="R03089fa636a44783" /><Relationship Type="http://schemas.openxmlformats.org/officeDocument/2006/relationships/worksheet" Target="/xl/worksheets/sheet10.xml" Id="R6ddad8d6835e4691" /><Relationship Type="http://schemas.openxmlformats.org/officeDocument/2006/relationships/worksheet" Target="/xl/worksheets/sheet11.xml" Id="R44129eb1a8ec47fc" /><Relationship Type="http://schemas.openxmlformats.org/officeDocument/2006/relationships/worksheet" Target="/xl/worksheets/sheet12.xml" Id="R395f6b283a89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8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  <x:col min="9" max="9" width="58" hidden="0" customWidth="1"/>
    <x:col min="10" max="10" width="18" hidden="0" customWidth="1"/>
    <x:col min="11" max="11" width="14" hidden="0" customWidth="1"/>
    <x:col min="12" max="12" width="14" hidden="0" customWidth="1"/>
    <x:col min="13" max="13" width="44" hidden="0" customWidth="1"/>
  </x:cols>
  <x:sheetData>
    <x:row r="1" ht="34" customHeight="1">
      <x:c r="A1" s="12" t="str">
        <x:v>country_code</x:v>
      </x:c>
      <x:c r="B1" s="12" t="str">
        <x:v>country</x:v>
      </x:c>
      <x:c r="C1" s="12" t="str">
        <x:v>year</x:v>
      </x:c>
      <x:c r="D1" s="12" t="str">
        <x:v>indicator_code</x:v>
      </x:c>
      <x:c r="E1" s="12" t="str">
        <x:v>indicator</x:v>
      </x:c>
      <x:c r="F1" s="12" t="str">
        <x:v>value</x:v>
      </x:c>
      <x:c r="G1" s="12" t="str">
        <x:v>unit</x:v>
      </x:c>
      <x:c r="H1" s="12" t="str">
        <x:v>source_organization</x:v>
      </x:c>
      <x:c r="I1" s="12" t="str">
        <x:v>source_url</x:v>
      </x:c>
      <x:c r="J1" s="12" t="str">
        <x:v>source_last_updated</x:v>
      </x:c>
      <x:c r="K1" s="12" t="str">
        <x:v>retrieved_on</x:v>
      </x:c>
      <x:c r="L1" s="12" t="str">
        <x:v>license</x:v>
      </x:c>
      <x:c r="M1" s="12" t="str">
        <x:v>license_url</x:v>
      </x:c>
    </x:row>
    <x:row r="2" ht="26" customHeight="1">
      <x:c r="A2" s="6" t="str">
        <x:v>CHN</x:v>
      </x:c>
      <x:c r="B2" s="6" t="str">
        <x:v>China</x:v>
      </x:c>
      <x:c r="C2" s="14" t="n">
        <x:v>2014</x:v>
      </x:c>
      <x:c r="D2" s="6" t="str">
        <x:v>ER.FSH.AQUA.MT</x:v>
      </x:c>
      <x:c r="E2" s="6" t="str">
        <x:v>Aquaculture production (metric tons)</x:v>
      </x:c>
      <x:c r="F2" s="16" t="n">
        <x:v>57320503.727</x:v>
      </x:c>
      <x:c r="G2" s="6" t="str">
        <x:v>metric tonnes</x:v>
      </x:c>
      <x:c r="H2" s="6" t="str">
        <x:v>FAO via World Bank World Development Indicators</x:v>
      </x:c>
      <x:c r="I2" s="6" t="str">
        <x:v>https://api.worldbank.org/v2/country/CHN/indicator/ER.FSH.AQUA.MT?format=json&amp;date=2014:2023&amp;per_page=100</x:v>
      </x:c>
      <x:c r="J2" s="6" t="str">
        <x:v>2026-07-13</x:v>
      </x:c>
      <x:c r="K2" s="6" t="str">
        <x:v>2026-07-23</x:v>
      </x:c>
      <x:c r="L2" s="6" t="str">
        <x:v>CC BY 4.0</x:v>
      </x:c>
      <x:c r="M2" s="6" t="str">
        <x:v>https://datacatalog.worldbank.org/public-licenses</x:v>
      </x:c>
    </x:row>
    <x:row r="3" ht="26" customHeight="1">
      <x:c r="A3" s="6" t="str">
        <x:v>CHN</x:v>
      </x:c>
      <x:c r="B3" s="6" t="str">
        <x:v>China</x:v>
      </x:c>
      <x:c r="C3" s="14" t="n">
        <x:v>2014</x:v>
      </x:c>
      <x:c r="D3" s="6" t="str">
        <x:v>ER.FSH.CAPT.MT</x:v>
      </x:c>
      <x:c r="E3" s="6" t="str">
        <x:v>Capture fisheries production (metric tons)</x:v>
      </x:c>
      <x:c r="F3" s="16" t="n">
        <x:v>16363366.411</x:v>
      </x:c>
      <x:c r="G3" s="6" t="str">
        <x:v>metric tonnes</x:v>
      </x:c>
      <x:c r="H3" s="6" t="str">
        <x:v>FAO via World Bank World Development Indicators</x:v>
      </x:c>
      <x:c r="I3" s="6" t="str">
        <x:v>https://api.worldbank.org/v2/country/CHN/indicator/ER.FSH.CAPT.MT?format=json&amp;date=2014:2023&amp;per_page=100</x:v>
      </x:c>
      <x:c r="J3" s="6" t="str">
        <x:v>2026-07-13</x:v>
      </x:c>
      <x:c r="K3" s="6" t="str">
        <x:v>2026-07-23</x:v>
      </x:c>
      <x:c r="L3" s="6" t="str">
        <x:v>CC BY 4.0</x:v>
      </x:c>
      <x:c r="M3" s="6" t="str">
        <x:v>https://datacatalog.worldbank.org/public-licenses</x:v>
      </x:c>
    </x:row>
    <x:row r="4" ht="26" customHeight="1">
      <x:c r="A4" s="6" t="str">
        <x:v>CHN</x:v>
      </x:c>
      <x:c r="B4" s="6" t="str">
        <x:v>China</x:v>
      </x:c>
      <x:c r="C4" s="14" t="n">
        <x:v>2014</x:v>
      </x:c>
      <x:c r="D4" s="6" t="str">
        <x:v>ER.FSH.PROD.MT</x:v>
      </x:c>
      <x:c r="E4" s="6" t="str">
        <x:v>Total fisheries production (metric tons)</x:v>
      </x:c>
      <x:c r="F4" s="16" t="n">
        <x:v>73683870.138</x:v>
      </x:c>
      <x:c r="G4" s="6" t="str">
        <x:v>metric tonnes</x:v>
      </x:c>
      <x:c r="H4" s="6" t="str">
        <x:v>FAO via World Bank World Development Indicators</x:v>
      </x:c>
      <x:c r="I4" s="6" t="str">
        <x:v>https://api.worldbank.org/v2/country/CHN/indicator/ER.FSH.PROD.MT?format=json&amp;date=2014:2023&amp;per_page=100</x:v>
      </x:c>
      <x:c r="J4" s="6" t="str">
        <x:v>2026-07-13</x:v>
      </x:c>
      <x:c r="K4" s="6" t="str">
        <x:v>2026-07-23</x:v>
      </x:c>
      <x:c r="L4" s="6" t="str">
        <x:v>CC BY 4.0</x:v>
      </x:c>
      <x:c r="M4" s="6" t="str">
        <x:v>https://datacatalog.worldbank.org/public-licenses</x:v>
      </x:c>
    </x:row>
    <x:row r="5" ht="26" customHeight="1">
      <x:c r="A5" s="6" t="str">
        <x:v>CHN</x:v>
      </x:c>
      <x:c r="B5" s="6" t="str">
        <x:v>China</x:v>
      </x:c>
      <x:c r="C5" s="14" t="n">
        <x:v>2015</x:v>
      </x:c>
      <x:c r="D5" s="6" t="str">
        <x:v>ER.FSH.AQUA.MT</x:v>
      </x:c>
      <x:c r="E5" s="6" t="str">
        <x:v>Aquaculture production (metric tons)</x:v>
      </x:c>
      <x:c r="F5" s="16" t="n">
        <x:v>59368941.586</x:v>
      </x:c>
      <x:c r="G5" s="6" t="str">
        <x:v>metric tonnes</x:v>
      </x:c>
      <x:c r="H5" s="6" t="str">
        <x:v>FAO via World Bank World Development Indicators</x:v>
      </x:c>
      <x:c r="I5" s="6" t="str">
        <x:v>https://api.worldbank.org/v2/country/CHN/indicator/ER.FSH.AQUA.MT?format=json&amp;date=2014:2023&amp;per_page=100</x:v>
      </x:c>
      <x:c r="J5" s="6" t="str">
        <x:v>2026-07-13</x:v>
      </x:c>
      <x:c r="K5" s="6" t="str">
        <x:v>2026-07-23</x:v>
      </x:c>
      <x:c r="L5" s="6" t="str">
        <x:v>CC BY 4.0</x:v>
      </x:c>
      <x:c r="M5" s="6" t="str">
        <x:v>https://datacatalog.worldbank.org/public-licenses</x:v>
      </x:c>
    </x:row>
    <x:row r="6" ht="26" customHeight="1">
      <x:c r="A6" s="6" t="str">
        <x:v>CHN</x:v>
      </x:c>
      <x:c r="B6" s="6" t="str">
        <x:v>China</x:v>
      </x:c>
      <x:c r="C6" s="14" t="n">
        <x:v>2015</x:v>
      </x:c>
      <x:c r="D6" s="6" t="str">
        <x:v>ER.FSH.CAPT.MT</x:v>
      </x:c>
      <x:c r="E6" s="6" t="str">
        <x:v>Capture fisheries production (metric tons)</x:v>
      </x:c>
      <x:c r="F6" s="16" t="n">
        <x:v>16647933.762</x:v>
      </x:c>
      <x:c r="G6" s="6" t="str">
        <x:v>metric tonnes</x:v>
      </x:c>
      <x:c r="H6" s="6" t="str">
        <x:v>FAO via World Bank World Development Indicators</x:v>
      </x:c>
      <x:c r="I6" s="6" t="str">
        <x:v>https://api.worldbank.org/v2/country/CHN/indicator/ER.FSH.CAPT.MT?format=json&amp;date=2014:2023&amp;per_page=100</x:v>
      </x:c>
      <x:c r="J6" s="6" t="str">
        <x:v>2026-07-13</x:v>
      </x:c>
      <x:c r="K6" s="6" t="str">
        <x:v>2026-07-23</x:v>
      </x:c>
      <x:c r="L6" s="6" t="str">
        <x:v>CC BY 4.0</x:v>
      </x:c>
      <x:c r="M6" s="6" t="str">
        <x:v>https://datacatalog.worldbank.org/public-licenses</x:v>
      </x:c>
    </x:row>
    <x:row r="7" ht="26" customHeight="1">
      <x:c r="A7" s="6" t="str">
        <x:v>CHN</x:v>
      </x:c>
      <x:c r="B7" s="6" t="str">
        <x:v>China</x:v>
      </x:c>
      <x:c r="C7" s="14" t="n">
        <x:v>2015</x:v>
      </x:c>
      <x:c r="D7" s="6" t="str">
        <x:v>ER.FSH.PROD.MT</x:v>
      </x:c>
      <x:c r="E7" s="6" t="str">
        <x:v>Total fisheries production (metric tons)</x:v>
      </x:c>
      <x:c r="F7" s="16" t="n">
        <x:v>76016875.348</x:v>
      </x:c>
      <x:c r="G7" s="6" t="str">
        <x:v>metric tonnes</x:v>
      </x:c>
      <x:c r="H7" s="6" t="str">
        <x:v>FAO via World Bank World Development Indicators</x:v>
      </x:c>
      <x:c r="I7" s="6" t="str">
        <x:v>https://api.worldbank.org/v2/country/CHN/indicator/ER.FSH.PROD.MT?format=json&amp;date=2014:2023&amp;per_page=100</x:v>
      </x:c>
      <x:c r="J7" s="6" t="str">
        <x:v>2026-07-13</x:v>
      </x:c>
      <x:c r="K7" s="6" t="str">
        <x:v>2026-07-23</x:v>
      </x:c>
      <x:c r="L7" s="6" t="str">
        <x:v>CC BY 4.0</x:v>
      </x:c>
      <x:c r="M7" s="6" t="str">
        <x:v>https://datacatalog.worldbank.org/public-licenses</x:v>
      </x:c>
    </x:row>
    <x:row r="8" ht="26" customHeight="1">
      <x:c r="A8" s="6" t="str">
        <x:v>CHN</x:v>
      </x:c>
      <x:c r="B8" s="6" t="str">
        <x:v>China</x:v>
      </x:c>
      <x:c r="C8" s="14" t="n">
        <x:v>2016</x:v>
      </x:c>
      <x:c r="D8" s="6" t="str">
        <x:v>ER.FSH.AQUA.MT</x:v>
      </x:c>
      <x:c r="E8" s="6" t="str">
        <x:v>Aquaculture production (metric tons)</x:v>
      </x:c>
      <x:c r="F8" s="16" t="n">
        <x:v>62318377.873</x:v>
      </x:c>
      <x:c r="G8" s="6" t="str">
        <x:v>metric tonnes</x:v>
      </x:c>
      <x:c r="H8" s="6" t="str">
        <x:v>FAO via World Bank World Development Indicators</x:v>
      </x:c>
      <x:c r="I8" s="6" t="str">
        <x:v>https://api.worldbank.org/v2/country/CHN/indicator/ER.FSH.AQUA.MT?format=json&amp;date=2014:2023&amp;per_page=100</x:v>
      </x:c>
      <x:c r="J8" s="6" t="str">
        <x:v>2026-07-13</x:v>
      </x:c>
      <x:c r="K8" s="6" t="str">
        <x:v>2026-07-23</x:v>
      </x:c>
      <x:c r="L8" s="6" t="str">
        <x:v>CC BY 4.0</x:v>
      </x:c>
      <x:c r="M8" s="6" t="str">
        <x:v>https://datacatalog.worldbank.org/public-licenses</x:v>
      </x:c>
    </x:row>
    <x:row r="9" ht="26" customHeight="1">
      <x:c r="A9" s="6" t="str">
        <x:v>CHN</x:v>
      </x:c>
      <x:c r="B9" s="6" t="str">
        <x:v>China</x:v>
      </x:c>
      <x:c r="C9" s="14" t="n">
        <x:v>2016</x:v>
      </x:c>
      <x:c r="D9" s="6" t="str">
        <x:v>ER.FSH.CAPT.MT</x:v>
      </x:c>
      <x:c r="E9" s="6" t="str">
        <x:v>Capture fisheries production (metric tons)</x:v>
      </x:c>
      <x:c r="F9" s="16" t="n">
        <x:v>16019262.222</x:v>
      </x:c>
      <x:c r="G9" s="6" t="str">
        <x:v>metric tonnes</x:v>
      </x:c>
      <x:c r="H9" s="6" t="str">
        <x:v>FAO via World Bank World Development Indicators</x:v>
      </x:c>
      <x:c r="I9" s="6" t="str">
        <x:v>https://api.worldbank.org/v2/country/CHN/indicator/ER.FSH.CAPT.MT?format=json&amp;date=2014:2023&amp;per_page=100</x:v>
      </x:c>
      <x:c r="J9" s="6" t="str">
        <x:v>2026-07-13</x:v>
      </x:c>
      <x:c r="K9" s="6" t="str">
        <x:v>2026-07-23</x:v>
      </x:c>
      <x:c r="L9" s="6" t="str">
        <x:v>CC BY 4.0</x:v>
      </x:c>
      <x:c r="M9" s="6" t="str">
        <x:v>https://datacatalog.worldbank.org/public-licenses</x:v>
      </x:c>
    </x:row>
    <x:row r="10" ht="26" customHeight="1">
      <x:c r="A10" s="6" t="str">
        <x:v>CHN</x:v>
      </x:c>
      <x:c r="B10" s="6" t="str">
        <x:v>China</x:v>
      </x:c>
      <x:c r="C10" s="14" t="n">
        <x:v>2016</x:v>
      </x:c>
      <x:c r="D10" s="6" t="str">
        <x:v>ER.FSH.PROD.MT</x:v>
      </x:c>
      <x:c r="E10" s="6" t="str">
        <x:v>Total fisheries production (metric tons)</x:v>
      </x:c>
      <x:c r="F10" s="16" t="n">
        <x:v>78337640.095</x:v>
      </x:c>
      <x:c r="G10" s="6" t="str">
        <x:v>metric tonnes</x:v>
      </x:c>
      <x:c r="H10" s="6" t="str">
        <x:v>FAO via World Bank World Development Indicators</x:v>
      </x:c>
      <x:c r="I10" s="6" t="str">
        <x:v>https://api.worldbank.org/v2/country/CHN/indicator/ER.FSH.PROD.MT?format=json&amp;date=2014:2023&amp;per_page=100</x:v>
      </x:c>
      <x:c r="J10" s="6" t="str">
        <x:v>2026-07-13</x:v>
      </x:c>
      <x:c r="K10" s="6" t="str">
        <x:v>2026-07-23</x:v>
      </x:c>
      <x:c r="L10" s="6" t="str">
        <x:v>CC BY 4.0</x:v>
      </x:c>
      <x:c r="M10" s="6" t="str">
        <x:v>https://datacatalog.worldbank.org/public-licenses</x:v>
      </x:c>
    </x:row>
    <x:row r="11" ht="26" customHeight="1">
      <x:c r="A11" s="6" t="str">
        <x:v>CHN</x:v>
      </x:c>
      <x:c r="B11" s="6" t="str">
        <x:v>China</x:v>
      </x:c>
      <x:c r="C11" s="14" t="n">
        <x:v>2017</x:v>
      </x:c>
      <x:c r="D11" s="6" t="str">
        <x:v>ER.FSH.AQUA.MT</x:v>
      </x:c>
      <x:c r="E11" s="6" t="str">
        <x:v>Aquaculture production (metric tons)</x:v>
      </x:c>
      <x:c r="F11" s="16" t="n">
        <x:v>64358480.813</x:v>
      </x:c>
      <x:c r="G11" s="6" t="str">
        <x:v>metric tonnes</x:v>
      </x:c>
      <x:c r="H11" s="6" t="str">
        <x:v>FAO via World Bank World Development Indicators</x:v>
      </x:c>
      <x:c r="I11" s="6" t="str">
        <x:v>https://api.worldbank.org/v2/country/CHN/indicator/ER.FSH.AQUA.MT?format=json&amp;date=2014:2023&amp;per_page=100</x:v>
      </x:c>
      <x:c r="J11" s="6" t="str">
        <x:v>2026-07-13</x:v>
      </x:c>
      <x:c r="K11" s="6" t="str">
        <x:v>2026-07-23</x:v>
      </x:c>
      <x:c r="L11" s="6" t="str">
        <x:v>CC BY 4.0</x:v>
      </x:c>
      <x:c r="M11" s="6" t="str">
        <x:v>https://datacatalog.worldbank.org/public-licenses</x:v>
      </x:c>
    </x:row>
    <x:row r="12" ht="26" customHeight="1">
      <x:c r="A12" s="6" t="str">
        <x:v>CHN</x:v>
      </x:c>
      <x:c r="B12" s="6" t="str">
        <x:v>China</x:v>
      </x:c>
      <x:c r="C12" s="14" t="n">
        <x:v>2017</x:v>
      </x:c>
      <x:c r="D12" s="6" t="str">
        <x:v>ER.FSH.CAPT.MT</x:v>
      </x:c>
      <x:c r="E12" s="6" t="str">
        <x:v>Capture fisheries production (metric tons)</x:v>
      </x:c>
      <x:c r="F12" s="16" t="n">
        <x:v>15576685.312</x:v>
      </x:c>
      <x:c r="G12" s="6" t="str">
        <x:v>metric tonnes</x:v>
      </x:c>
      <x:c r="H12" s="6" t="str">
        <x:v>FAO via World Bank World Development Indicators</x:v>
      </x:c>
      <x:c r="I12" s="6" t="str">
        <x:v>https://api.worldbank.org/v2/country/CHN/indicator/ER.FSH.CAPT.MT?format=json&amp;date=2014:2023&amp;per_page=100</x:v>
      </x:c>
      <x:c r="J12" s="6" t="str">
        <x:v>2026-07-13</x:v>
      </x:c>
      <x:c r="K12" s="6" t="str">
        <x:v>2026-07-23</x:v>
      </x:c>
      <x:c r="L12" s="6" t="str">
        <x:v>CC BY 4.0</x:v>
      </x:c>
      <x:c r="M12" s="6" t="str">
        <x:v>https://datacatalog.worldbank.org/public-licenses</x:v>
      </x:c>
    </x:row>
    <x:row r="13" ht="26" customHeight="1">
      <x:c r="A13" s="6" t="str">
        <x:v>CHN</x:v>
      </x:c>
      <x:c r="B13" s="6" t="str">
        <x:v>China</x:v>
      </x:c>
      <x:c r="C13" s="14" t="n">
        <x:v>2017</x:v>
      </x:c>
      <x:c r="D13" s="6" t="str">
        <x:v>ER.FSH.PROD.MT</x:v>
      </x:c>
      <x:c r="E13" s="6" t="str">
        <x:v>Total fisheries production (metric tons)</x:v>
      </x:c>
      <x:c r="F13" s="16" t="n">
        <x:v>79935166.125</x:v>
      </x:c>
      <x:c r="G13" s="6" t="str">
        <x:v>metric tonnes</x:v>
      </x:c>
      <x:c r="H13" s="6" t="str">
        <x:v>FAO via World Bank World Development Indicators</x:v>
      </x:c>
      <x:c r="I13" s="6" t="str">
        <x:v>https://api.worldbank.org/v2/country/CHN/indicator/ER.FSH.PROD.MT?format=json&amp;date=2014:2023&amp;per_page=100</x:v>
      </x:c>
      <x:c r="J13" s="6" t="str">
        <x:v>2026-07-13</x:v>
      </x:c>
      <x:c r="K13" s="6" t="str">
        <x:v>2026-07-23</x:v>
      </x:c>
      <x:c r="L13" s="6" t="str">
        <x:v>CC BY 4.0</x:v>
      </x:c>
      <x:c r="M13" s="6" t="str">
        <x:v>https://datacatalog.worldbank.org/public-licenses</x:v>
      </x:c>
    </x:row>
    <x:row r="14" ht="26" customHeight="1">
      <x:c r="A14" s="6" t="str">
        <x:v>CHN</x:v>
      </x:c>
      <x:c r="B14" s="6" t="str">
        <x:v>China</x:v>
      </x:c>
      <x:c r="C14" s="14" t="n">
        <x:v>2018</x:v>
      </x:c>
      <x:c r="D14" s="6" t="str">
        <x:v>ER.FSH.AQUA.MT</x:v>
      </x:c>
      <x:c r="E14" s="6" t="str">
        <x:v>Aquaculture production (metric tons)</x:v>
      </x:c>
      <x:c r="F14" s="16" t="n">
        <x:v>66135059.342</x:v>
      </x:c>
      <x:c r="G14" s="6" t="str">
        <x:v>metric tonnes</x:v>
      </x:c>
      <x:c r="H14" s="6" t="str">
        <x:v>FAO via World Bank World Development Indicators</x:v>
      </x:c>
      <x:c r="I14" s="6" t="str">
        <x:v>https://api.worldbank.org/v2/country/CHN/indicator/ER.FSH.AQUA.MT?format=json&amp;date=2014:2023&amp;per_page=100</x:v>
      </x:c>
      <x:c r="J14" s="6" t="str">
        <x:v>2026-07-13</x:v>
      </x:c>
      <x:c r="K14" s="6" t="str">
        <x:v>2026-07-23</x:v>
      </x:c>
      <x:c r="L14" s="6" t="str">
        <x:v>CC BY 4.0</x:v>
      </x:c>
      <x:c r="M14" s="6" t="str">
        <x:v>https://datacatalog.worldbank.org/public-licenses</x:v>
      </x:c>
    </x:row>
    <x:row r="15" ht="26" customHeight="1">
      <x:c r="A15" s="6" t="str">
        <x:v>CHN</x:v>
      </x:c>
      <x:c r="B15" s="6" t="str">
        <x:v>China</x:v>
      </x:c>
      <x:c r="C15" s="14" t="n">
        <x:v>2018</x:v>
      </x:c>
      <x:c r="D15" s="6" t="str">
        <x:v>ER.FSH.CAPT.MT</x:v>
      </x:c>
      <x:c r="E15" s="6" t="str">
        <x:v>Capture fisheries production (metric tons)</x:v>
      </x:c>
      <x:c r="F15" s="16" t="n">
        <x:v>14831109.111</x:v>
      </x:c>
      <x:c r="G15" s="6" t="str">
        <x:v>metric tonnes</x:v>
      </x:c>
      <x:c r="H15" s="6" t="str">
        <x:v>FAO via World Bank World Development Indicators</x:v>
      </x:c>
      <x:c r="I15" s="6" t="str">
        <x:v>https://api.worldbank.org/v2/country/CHN/indicator/ER.FSH.CAPT.MT?format=json&amp;date=2014:2023&amp;per_page=100</x:v>
      </x:c>
      <x:c r="J15" s="6" t="str">
        <x:v>2026-07-13</x:v>
      </x:c>
      <x:c r="K15" s="6" t="str">
        <x:v>2026-07-23</x:v>
      </x:c>
      <x:c r="L15" s="6" t="str">
        <x:v>CC BY 4.0</x:v>
      </x:c>
      <x:c r="M15" s="6" t="str">
        <x:v>https://datacatalog.worldbank.org/public-licenses</x:v>
      </x:c>
    </x:row>
    <x:row r="16" ht="26" customHeight="1">
      <x:c r="A16" s="6" t="str">
        <x:v>CHN</x:v>
      </x:c>
      <x:c r="B16" s="6" t="str">
        <x:v>China</x:v>
      </x:c>
      <x:c r="C16" s="14" t="n">
        <x:v>2018</x:v>
      </x:c>
      <x:c r="D16" s="6" t="str">
        <x:v>ER.FSH.PROD.MT</x:v>
      </x:c>
      <x:c r="E16" s="6" t="str">
        <x:v>Total fisheries production (metric tons)</x:v>
      </x:c>
      <x:c r="F16" s="16" t="n">
        <x:v>80966168.453</x:v>
      </x:c>
      <x:c r="G16" s="6" t="str">
        <x:v>metric tonnes</x:v>
      </x:c>
      <x:c r="H16" s="6" t="str">
        <x:v>FAO via World Bank World Development Indicators</x:v>
      </x:c>
      <x:c r="I16" s="6" t="str">
        <x:v>https://api.worldbank.org/v2/country/CHN/indicator/ER.FSH.PROD.MT?format=json&amp;date=2014:2023&amp;per_page=100</x:v>
      </x:c>
      <x:c r="J16" s="6" t="str">
        <x:v>2026-07-13</x:v>
      </x:c>
      <x:c r="K16" s="6" t="str">
        <x:v>2026-07-23</x:v>
      </x:c>
      <x:c r="L16" s="6" t="str">
        <x:v>CC BY 4.0</x:v>
      </x:c>
      <x:c r="M16" s="6" t="str">
        <x:v>https://datacatalog.worldbank.org/public-licenses</x:v>
      </x:c>
    </x:row>
    <x:row r="17" ht="26" customHeight="1">
      <x:c r="A17" s="6" t="str">
        <x:v>CHN</x:v>
      </x:c>
      <x:c r="B17" s="6" t="str">
        <x:v>China</x:v>
      </x:c>
      <x:c r="C17" s="14" t="n">
        <x:v>2019</x:v>
      </x:c>
      <x:c r="D17" s="6" t="str">
        <x:v>ER.FSH.AQUA.MT</x:v>
      </x:c>
      <x:c r="E17" s="6" t="str">
        <x:v>Aquaculture production (metric tons)</x:v>
      </x:c>
      <x:c r="F17" s="16" t="n">
        <x:v>68423859</x:v>
      </x:c>
      <x:c r="G17" s="6" t="str">
        <x:v>metric tonnes</x:v>
      </x:c>
      <x:c r="H17" s="6" t="str">
        <x:v>FAO via World Bank World Development Indicators</x:v>
      </x:c>
      <x:c r="I17" s="6" t="str">
        <x:v>https://api.worldbank.org/v2/country/CHN/indicator/ER.FSH.AQUA.MT?format=json&amp;date=2014:2023&amp;per_page=100</x:v>
      </x:c>
      <x:c r="J17" s="6" t="str">
        <x:v>2026-07-13</x:v>
      </x:c>
      <x:c r="K17" s="6" t="str">
        <x:v>2026-07-23</x:v>
      </x:c>
      <x:c r="L17" s="6" t="str">
        <x:v>CC BY 4.0</x:v>
      </x:c>
      <x:c r="M17" s="6" t="str">
        <x:v>https://datacatalog.worldbank.org/public-licenses</x:v>
      </x:c>
    </x:row>
    <x:row r="18" ht="26" customHeight="1">
      <x:c r="A18" s="6" t="str">
        <x:v>CHN</x:v>
      </x:c>
      <x:c r="B18" s="6" t="str">
        <x:v>China</x:v>
      </x:c>
      <x:c r="C18" s="14" t="n">
        <x:v>2019</x:v>
      </x:c>
      <x:c r="D18" s="6" t="str">
        <x:v>ER.FSH.CAPT.MT</x:v>
      </x:c>
      <x:c r="E18" s="6" t="str">
        <x:v>Capture fisheries production (metric tons)</x:v>
      </x:c>
      <x:c r="F18" s="16" t="n">
        <x:v>14169863.257</x:v>
      </x:c>
      <x:c r="G18" s="6" t="str">
        <x:v>metric tonnes</x:v>
      </x:c>
      <x:c r="H18" s="6" t="str">
        <x:v>FAO via World Bank World Development Indicators</x:v>
      </x:c>
      <x:c r="I18" s="6" t="str">
        <x:v>https://api.worldbank.org/v2/country/CHN/indicator/ER.FSH.CAPT.MT?format=json&amp;date=2014:2023&amp;per_page=100</x:v>
      </x:c>
      <x:c r="J18" s="6" t="str">
        <x:v>2026-07-13</x:v>
      </x:c>
      <x:c r="K18" s="6" t="str">
        <x:v>2026-07-23</x:v>
      </x:c>
      <x:c r="L18" s="6" t="str">
        <x:v>CC BY 4.0</x:v>
      </x:c>
      <x:c r="M18" s="6" t="str">
        <x:v>https://datacatalog.worldbank.org/public-licenses</x:v>
      </x:c>
    </x:row>
    <x:row r="19" ht="26" customHeight="1">
      <x:c r="A19" s="6" t="str">
        <x:v>CHN</x:v>
      </x:c>
      <x:c r="B19" s="6" t="str">
        <x:v>China</x:v>
      </x:c>
      <x:c r="C19" s="14" t="n">
        <x:v>2019</x:v>
      </x:c>
      <x:c r="D19" s="6" t="str">
        <x:v>ER.FSH.PROD.MT</x:v>
      </x:c>
      <x:c r="E19" s="6" t="str">
        <x:v>Total fisheries production (metric tons)</x:v>
      </x:c>
      <x:c r="F19" s="16" t="n">
        <x:v>82593722.257</x:v>
      </x:c>
      <x:c r="G19" s="6" t="str">
        <x:v>metric tonnes</x:v>
      </x:c>
      <x:c r="H19" s="6" t="str">
        <x:v>FAO via World Bank World Development Indicators</x:v>
      </x:c>
      <x:c r="I19" s="6" t="str">
        <x:v>https://api.worldbank.org/v2/country/CHN/indicator/ER.FSH.PROD.MT?format=json&amp;date=2014:2023&amp;per_page=100</x:v>
      </x:c>
      <x:c r="J19" s="6" t="str">
        <x:v>2026-07-13</x:v>
      </x:c>
      <x:c r="K19" s="6" t="str">
        <x:v>2026-07-23</x:v>
      </x:c>
      <x:c r="L19" s="6" t="str">
        <x:v>CC BY 4.0</x:v>
      </x:c>
      <x:c r="M19" s="6" t="str">
        <x:v>https://datacatalog.worldbank.org/public-licenses</x:v>
      </x:c>
    </x:row>
    <x:row r="20" ht="26" customHeight="1">
      <x:c r="A20" s="6" t="str">
        <x:v>CHN</x:v>
      </x:c>
      <x:c r="B20" s="6" t="str">
        <x:v>China</x:v>
      </x:c>
      <x:c r="C20" s="14" t="n">
        <x:v>2020</x:v>
      </x:c>
      <x:c r="D20" s="6" t="str">
        <x:v>ER.FSH.AQUA.MT</x:v>
      </x:c>
      <x:c r="E20" s="6" t="str">
        <x:v>Aquaculture production (metric tons)</x:v>
      </x:c>
      <x:c r="F20" s="16" t="n">
        <x:v>70483538.48</x:v>
      </x:c>
      <x:c r="G20" s="6" t="str">
        <x:v>metric tonnes</x:v>
      </x:c>
      <x:c r="H20" s="6" t="str">
        <x:v>FAO via World Bank World Development Indicators</x:v>
      </x:c>
      <x:c r="I20" s="6" t="str">
        <x:v>https://api.worldbank.org/v2/country/CHN/indicator/ER.FSH.AQUA.MT?format=json&amp;date=2014:2023&amp;per_page=100</x:v>
      </x:c>
      <x:c r="J20" s="6" t="str">
        <x:v>2026-07-13</x:v>
      </x:c>
      <x:c r="K20" s="6" t="str">
        <x:v>2026-07-23</x:v>
      </x:c>
      <x:c r="L20" s="6" t="str">
        <x:v>CC BY 4.0</x:v>
      </x:c>
      <x:c r="M20" s="6" t="str">
        <x:v>https://datacatalog.worldbank.org/public-licenses</x:v>
      </x:c>
    </x:row>
    <x:row r="21" ht="26" customHeight="1">
      <x:c r="A21" s="6" t="str">
        <x:v>CHN</x:v>
      </x:c>
      <x:c r="B21" s="6" t="str">
        <x:v>China</x:v>
      </x:c>
      <x:c r="C21" s="14" t="n">
        <x:v>2020</x:v>
      </x:c>
      <x:c r="D21" s="6" t="str">
        <x:v>ER.FSH.CAPT.MT</x:v>
      </x:c>
      <x:c r="E21" s="6" t="str">
        <x:v>Capture fisheries production (metric tons)</x:v>
      </x:c>
      <x:c r="F21" s="16" t="n">
        <x:v>13445983</x:v>
      </x:c>
      <x:c r="G21" s="6" t="str">
        <x:v>metric tonnes</x:v>
      </x:c>
      <x:c r="H21" s="6" t="str">
        <x:v>FAO via World Bank World Development Indicators</x:v>
      </x:c>
      <x:c r="I21" s="6" t="str">
        <x:v>https://api.worldbank.org/v2/country/CHN/indicator/ER.FSH.CAPT.MT?format=json&amp;date=2014:2023&amp;per_page=100</x:v>
      </x:c>
      <x:c r="J21" s="6" t="str">
        <x:v>2026-07-13</x:v>
      </x:c>
      <x:c r="K21" s="6" t="str">
        <x:v>2026-07-23</x:v>
      </x:c>
      <x:c r="L21" s="6" t="str">
        <x:v>CC BY 4.0</x:v>
      </x:c>
      <x:c r="M21" s="6" t="str">
        <x:v>https://datacatalog.worldbank.org/public-licenses</x:v>
      </x:c>
    </x:row>
    <x:row r="22" ht="26" customHeight="1">
      <x:c r="A22" s="6" t="str">
        <x:v>CHN</x:v>
      </x:c>
      <x:c r="B22" s="6" t="str">
        <x:v>China</x:v>
      </x:c>
      <x:c r="C22" s="14" t="n">
        <x:v>2020</x:v>
      </x:c>
      <x:c r="D22" s="6" t="str">
        <x:v>ER.FSH.PROD.MT</x:v>
      </x:c>
      <x:c r="E22" s="6" t="str">
        <x:v>Total fisheries production (metric tons)</x:v>
      </x:c>
      <x:c r="F22" s="16" t="n">
        <x:v>83929521.48</x:v>
      </x:c>
      <x:c r="G22" s="6" t="str">
        <x:v>metric tonnes</x:v>
      </x:c>
      <x:c r="H22" s="6" t="str">
        <x:v>FAO via World Bank World Development Indicators</x:v>
      </x:c>
      <x:c r="I22" s="6" t="str">
        <x:v>https://api.worldbank.org/v2/country/CHN/indicator/ER.FSH.PROD.MT?format=json&amp;date=2014:2023&amp;per_page=100</x:v>
      </x:c>
      <x:c r="J22" s="6" t="str">
        <x:v>2026-07-13</x:v>
      </x:c>
      <x:c r="K22" s="6" t="str">
        <x:v>2026-07-23</x:v>
      </x:c>
      <x:c r="L22" s="6" t="str">
        <x:v>CC BY 4.0</x:v>
      </x:c>
      <x:c r="M22" s="6" t="str">
        <x:v>https://datacatalog.worldbank.org/public-licenses</x:v>
      </x:c>
    </x:row>
    <x:row r="23" ht="26" customHeight="1">
      <x:c r="A23" s="6" t="str">
        <x:v>CHN</x:v>
      </x:c>
      <x:c r="B23" s="6" t="str">
        <x:v>China</x:v>
      </x:c>
      <x:c r="C23" s="14" t="n">
        <x:v>2021</x:v>
      </x:c>
      <x:c r="D23" s="6" t="str">
        <x:v>ER.FSH.AQUA.MT</x:v>
      </x:c>
      <x:c r="E23" s="6" t="str">
        <x:v>Aquaculture production (metric tons)</x:v>
      </x:c>
      <x:c r="F23" s="16" t="n">
        <x:v>72805297</x:v>
      </x:c>
      <x:c r="G23" s="6" t="str">
        <x:v>metric tonnes</x:v>
      </x:c>
      <x:c r="H23" s="6" t="str">
        <x:v>FAO via World Bank World Development Indicators</x:v>
      </x:c>
      <x:c r="I23" s="6" t="str">
        <x:v>https://api.worldbank.org/v2/country/CHN/indicator/ER.FSH.AQUA.MT?format=json&amp;date=2014:2023&amp;per_page=100</x:v>
      </x:c>
      <x:c r="J23" s="6" t="str">
        <x:v>2026-07-13</x:v>
      </x:c>
      <x:c r="K23" s="6" t="str">
        <x:v>2026-07-23</x:v>
      </x:c>
      <x:c r="L23" s="6" t="str">
        <x:v>CC BY 4.0</x:v>
      </x:c>
      <x:c r="M23" s="6" t="str">
        <x:v>https://datacatalog.worldbank.org/public-licenses</x:v>
      </x:c>
    </x:row>
    <x:row r="24" ht="26" customHeight="1">
      <x:c r="A24" s="6" t="str">
        <x:v>CHN</x:v>
      </x:c>
      <x:c r="B24" s="6" t="str">
        <x:v>China</x:v>
      </x:c>
      <x:c r="C24" s="14" t="n">
        <x:v>2021</x:v>
      </x:c>
      <x:c r="D24" s="6" t="str">
        <x:v>ER.FSH.CAPT.MT</x:v>
      </x:c>
      <x:c r="E24" s="6" t="str">
        <x:v>Capture fisheries production (metric tons)</x:v>
      </x:c>
      <x:c r="F24" s="16" t="n">
        <x:v>13142836.999</x:v>
      </x:c>
      <x:c r="G24" s="6" t="str">
        <x:v>metric tonnes</x:v>
      </x:c>
      <x:c r="H24" s="6" t="str">
        <x:v>FAO via World Bank World Development Indicators</x:v>
      </x:c>
      <x:c r="I24" s="6" t="str">
        <x:v>https://api.worldbank.org/v2/country/CHN/indicator/ER.FSH.CAPT.MT?format=json&amp;date=2014:2023&amp;per_page=100</x:v>
      </x:c>
      <x:c r="J24" s="6" t="str">
        <x:v>2026-07-13</x:v>
      </x:c>
      <x:c r="K24" s="6" t="str">
        <x:v>2026-07-23</x:v>
      </x:c>
      <x:c r="L24" s="6" t="str">
        <x:v>CC BY 4.0</x:v>
      </x:c>
      <x:c r="M24" s="6" t="str">
        <x:v>https://datacatalog.worldbank.org/public-licenses</x:v>
      </x:c>
    </x:row>
    <x:row r="25" ht="26" customHeight="1">
      <x:c r="A25" s="6" t="str">
        <x:v>CHN</x:v>
      </x:c>
      <x:c r="B25" s="6" t="str">
        <x:v>China</x:v>
      </x:c>
      <x:c r="C25" s="14" t="n">
        <x:v>2021</x:v>
      </x:c>
      <x:c r="D25" s="6" t="str">
        <x:v>ER.FSH.PROD.MT</x:v>
      </x:c>
      <x:c r="E25" s="6" t="str">
        <x:v>Total fisheries production (metric tons)</x:v>
      </x:c>
      <x:c r="F25" s="16" t="n">
        <x:v>85948133.999</x:v>
      </x:c>
      <x:c r="G25" s="6" t="str">
        <x:v>metric tonnes</x:v>
      </x:c>
      <x:c r="H25" s="6" t="str">
        <x:v>FAO via World Bank World Development Indicators</x:v>
      </x:c>
      <x:c r="I25" s="6" t="str">
        <x:v>https://api.worldbank.org/v2/country/CHN/indicator/ER.FSH.PROD.MT?format=json&amp;date=2014:2023&amp;per_page=100</x:v>
      </x:c>
      <x:c r="J25" s="6" t="str">
        <x:v>2026-07-13</x:v>
      </x:c>
      <x:c r="K25" s="6" t="str">
        <x:v>2026-07-23</x:v>
      </x:c>
      <x:c r="L25" s="6" t="str">
        <x:v>CC BY 4.0</x:v>
      </x:c>
      <x:c r="M25" s="6" t="str">
        <x:v>https://datacatalog.worldbank.org/public-licenses</x:v>
      </x:c>
    </x:row>
    <x:row r="26" ht="26" customHeight="1">
      <x:c r="A26" s="6" t="str">
        <x:v>CHN</x:v>
      </x:c>
      <x:c r="B26" s="6" t="str">
        <x:v>China</x:v>
      </x:c>
      <x:c r="C26" s="14" t="n">
        <x:v>2022</x:v>
      </x:c>
      <x:c r="D26" s="6" t="str">
        <x:v>ER.FSH.AQUA.MT</x:v>
      </x:c>
      <x:c r="E26" s="6" t="str">
        <x:v>Aquaculture production (metric tons)</x:v>
      </x:c>
      <x:c r="F26" s="16" t="n">
        <x:v>75434999</x:v>
      </x:c>
      <x:c r="G26" s="6" t="str">
        <x:v>metric tonnes</x:v>
      </x:c>
      <x:c r="H26" s="6" t="str">
        <x:v>FAO via World Bank World Development Indicators</x:v>
      </x:c>
      <x:c r="I26" s="6" t="str">
        <x:v>https://api.worldbank.org/v2/country/CHN/indicator/ER.FSH.AQUA.MT?format=json&amp;date=2014:2023&amp;per_page=100</x:v>
      </x:c>
      <x:c r="J26" s="6" t="str">
        <x:v>2026-07-13</x:v>
      </x:c>
      <x:c r="K26" s="6" t="str">
        <x:v>2026-07-23</x:v>
      </x:c>
      <x:c r="L26" s="6" t="str">
        <x:v>CC BY 4.0</x:v>
      </x:c>
      <x:c r="M26" s="6" t="str">
        <x:v>https://datacatalog.worldbank.org/public-licenses</x:v>
      </x:c>
    </x:row>
    <x:row r="27" ht="26" customHeight="1">
      <x:c r="A27" s="6" t="str">
        <x:v>CHN</x:v>
      </x:c>
      <x:c r="B27" s="6" t="str">
        <x:v>China</x:v>
      </x:c>
      <x:c r="C27" s="14" t="n">
        <x:v>2022</x:v>
      </x:c>
      <x:c r="D27" s="6" t="str">
        <x:v>ER.FSH.CAPT.MT</x:v>
      </x:c>
      <x:c r="E27" s="6" t="str">
        <x:v>Capture fisheries production (metric tons)</x:v>
      </x:c>
      <x:c r="F27" s="16" t="n">
        <x:v>13179076.999</x:v>
      </x:c>
      <x:c r="G27" s="6" t="str">
        <x:v>metric tonnes</x:v>
      </x:c>
      <x:c r="H27" s="6" t="str">
        <x:v>FAO via World Bank World Development Indicators</x:v>
      </x:c>
      <x:c r="I27" s="6" t="str">
        <x:v>https://api.worldbank.org/v2/country/CHN/indicator/ER.FSH.CAPT.MT?format=json&amp;date=2014:2023&amp;per_page=100</x:v>
      </x:c>
      <x:c r="J27" s="6" t="str">
        <x:v>2026-07-13</x:v>
      </x:c>
      <x:c r="K27" s="6" t="str">
        <x:v>2026-07-23</x:v>
      </x:c>
      <x:c r="L27" s="6" t="str">
        <x:v>CC BY 4.0</x:v>
      </x:c>
      <x:c r="M27" s="6" t="str">
        <x:v>https://datacatalog.worldbank.org/public-licenses</x:v>
      </x:c>
    </x:row>
    <x:row r="28" ht="26" customHeight="1">
      <x:c r="A28" s="6" t="str">
        <x:v>CHN</x:v>
      </x:c>
      <x:c r="B28" s="6" t="str">
        <x:v>China</x:v>
      </x:c>
      <x:c r="C28" s="14" t="n">
        <x:v>2022</x:v>
      </x:c>
      <x:c r="D28" s="6" t="str">
        <x:v>ER.FSH.PROD.MT</x:v>
      </x:c>
      <x:c r="E28" s="6" t="str">
        <x:v>Total fisheries production (metric tons)</x:v>
      </x:c>
      <x:c r="F28" s="16" t="n">
        <x:v>88614075.999</x:v>
      </x:c>
      <x:c r="G28" s="6" t="str">
        <x:v>metric tonnes</x:v>
      </x:c>
      <x:c r="H28" s="6" t="str">
        <x:v>FAO via World Bank World Development Indicators</x:v>
      </x:c>
      <x:c r="I28" s="6" t="str">
        <x:v>https://api.worldbank.org/v2/country/CHN/indicator/ER.FSH.PROD.MT?format=json&amp;date=2014:2023&amp;per_page=100</x:v>
      </x:c>
      <x:c r="J28" s="6" t="str">
        <x:v>2026-07-13</x:v>
      </x:c>
      <x:c r="K28" s="6" t="str">
        <x:v>2026-07-23</x:v>
      </x:c>
      <x:c r="L28" s="6" t="str">
        <x:v>CC BY 4.0</x:v>
      </x:c>
      <x:c r="M28" s="6" t="str">
        <x:v>https://datacatalog.worldbank.org/public-licenses</x:v>
      </x:c>
    </x:row>
    <x:row r="29" ht="26" customHeight="1">
      <x:c r="A29" s="6" t="str">
        <x:v>CHN</x:v>
      </x:c>
      <x:c r="B29" s="6" t="str">
        <x:v>China</x:v>
      </x:c>
      <x:c r="C29" s="14" t="n">
        <x:v>2023</x:v>
      </x:c>
      <x:c r="D29" s="6" t="str">
        <x:v>ER.FSH.AQUA.MT</x:v>
      </x:c>
      <x:c r="E29" s="6" t="str">
        <x:v>Aquaculture production (metric tons)</x:v>
      </x:c>
      <x:c r="F29" s="16" t="n">
        <x:v>78276940.6</x:v>
      </x:c>
      <x:c r="G29" s="6" t="str">
        <x:v>metric tonnes</x:v>
      </x:c>
      <x:c r="H29" s="6" t="str">
        <x:v>FAO via World Bank World Development Indicators</x:v>
      </x:c>
      <x:c r="I29" s="6" t="str">
        <x:v>https://api.worldbank.org/v2/country/CHN/indicator/ER.FSH.AQUA.MT?format=json&amp;date=2014:2023&amp;per_page=100</x:v>
      </x:c>
      <x:c r="J29" s="6" t="str">
        <x:v>2026-07-13</x:v>
      </x:c>
      <x:c r="K29" s="6" t="str">
        <x:v>2026-07-23</x:v>
      </x:c>
      <x:c r="L29" s="6" t="str">
        <x:v>CC BY 4.0</x:v>
      </x:c>
      <x:c r="M29" s="6" t="str">
        <x:v>https://datacatalog.worldbank.org/public-licenses</x:v>
      </x:c>
    </x:row>
    <x:row r="30" ht="26" customHeight="1">
      <x:c r="A30" s="6" t="str">
        <x:v>CHN</x:v>
      </x:c>
      <x:c r="B30" s="6" t="str">
        <x:v>China</x:v>
      </x:c>
      <x:c r="C30" s="14" t="n">
        <x:v>2023</x:v>
      </x:c>
      <x:c r="D30" s="6" t="str">
        <x:v>ER.FSH.CAPT.MT</x:v>
      </x:c>
      <x:c r="E30" s="6" t="str">
        <x:v>Capture fisheries production (metric tons)</x:v>
      </x:c>
      <x:c r="F30" s="16" t="n">
        <x:v>13263391</x:v>
      </x:c>
      <x:c r="G30" s="6" t="str">
        <x:v>metric tonnes</x:v>
      </x:c>
      <x:c r="H30" s="6" t="str">
        <x:v>FAO via World Bank World Development Indicators</x:v>
      </x:c>
      <x:c r="I30" s="6" t="str">
        <x:v>https://api.worldbank.org/v2/country/CHN/indicator/ER.FSH.CAPT.MT?format=json&amp;date=2014:2023&amp;per_page=100</x:v>
      </x:c>
      <x:c r="J30" s="6" t="str">
        <x:v>2026-07-13</x:v>
      </x:c>
      <x:c r="K30" s="6" t="str">
        <x:v>2026-07-23</x:v>
      </x:c>
      <x:c r="L30" s="6" t="str">
        <x:v>CC BY 4.0</x:v>
      </x:c>
      <x:c r="M30" s="6" t="str">
        <x:v>https://datacatalog.worldbank.org/public-licenses</x:v>
      </x:c>
    </x:row>
    <x:row r="31" ht="26" customHeight="1">
      <x:c r="A31" s="6" t="str">
        <x:v>CHN</x:v>
      </x:c>
      <x:c r="B31" s="6" t="str">
        <x:v>China</x:v>
      </x:c>
      <x:c r="C31" s="14" t="n">
        <x:v>2023</x:v>
      </x:c>
      <x:c r="D31" s="6" t="str">
        <x:v>ER.FSH.PROD.MT</x:v>
      </x:c>
      <x:c r="E31" s="6" t="str">
        <x:v>Total fisheries production (metric tons)</x:v>
      </x:c>
      <x:c r="F31" s="16" t="n">
        <x:v>91540331.6</x:v>
      </x:c>
      <x:c r="G31" s="6" t="str">
        <x:v>metric tonnes</x:v>
      </x:c>
      <x:c r="H31" s="6" t="str">
        <x:v>FAO via World Bank World Development Indicators</x:v>
      </x:c>
      <x:c r="I31" s="6" t="str">
        <x:v>https://api.worldbank.org/v2/country/CHN/indicator/ER.FSH.PROD.MT?format=json&amp;date=2014:2023&amp;per_page=100</x:v>
      </x:c>
      <x:c r="J31" s="6" t="str">
        <x:v>2026-07-13</x:v>
      </x:c>
      <x:c r="K31" s="6" t="str">
        <x:v>2026-07-23</x:v>
      </x:c>
      <x:c r="L31" s="6" t="str">
        <x:v>CC BY 4.0</x:v>
      </x:c>
      <x:c r="M31" s="6" t="str">
        <x:v>https://datacatalog.worldbank.org/public-licenses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8" hidden="0" customWidth="1"/>
    <x:col min="5" max="5" width="38" hidden="0" customWidth="1"/>
    <x:col min="6" max="6" width="58" hidden="0" customWidth="1"/>
    <x:col min="7" max="7" width="14" hidden="0" customWidth="1"/>
    <x:col min="8" max="8" width="16" hidden="0" customWidth="1"/>
    <x:col min="9" max="9" width="42" hidden="0" customWidth="1"/>
  </x:cols>
  <x:sheetData>
    <x:row r="1" ht="34" customHeight="1">
      <x:c r="A1" s="12" t="str">
        <x:v>year</x:v>
      </x:c>
      <x:c r="B1" s="12" t="str">
        <x:v>indicator</x:v>
      </x:c>
      <x:c r="C1" s="12" t="str">
        <x:v>value</x:v>
      </x:c>
      <x:c r="D1" s="12" t="str">
        <x:v>unit</x:v>
      </x:c>
      <x:c r="E1" s="12" t="str">
        <x:v>source_organization</x:v>
      </x:c>
      <x:c r="F1" s="12" t="str">
        <x:v>source_url</x:v>
      </x:c>
      <x:c r="G1" s="12" t="str">
        <x:v>retrieved_on</x:v>
      </x:c>
      <x:c r="H1" s="12" t="str">
        <x:v>extraction_status</x:v>
      </x:c>
      <x:c r="I1" s="12" t="str">
        <x:v>extraction_method</x:v>
      </x:c>
    </x:row>
    <x:row r="2" ht="26" customHeight="1">
      <x:c r="A2" s="14" t="n">
        <x:v>2015</x:v>
      </x:c>
      <x:c r="B2" s="6" t="str">
        <x:v>aquaculture_production</x:v>
      </x:c>
      <x:c r="C2" s="18" t="n">
        <x:v>49379000</x:v>
      </x:c>
      <x:c r="D2" s="6" t="str">
        <x:v>tonnes</x:v>
      </x:c>
      <x:c r="E2" s="6" t="str">
        <x:v>Ministry of Agriculture and Rural Affairs of the PRC</x:v>
      </x:c>
      <x:c r="F2" s="6" t="str">
        <x:v>https://yyj.moa.gov.cn/gzdt/201904/t20190418_6195519.htm</x:v>
      </x:c>
      <x:c r="G2" s="6" t="str">
        <x:v>2026-07-23</x:v>
      </x:c>
      <x:c r="H2" s="6" t="str">
        <x:v>parsed</x:v>
      </x:c>
      <x:c r="I2" s="6" t="str">
        <x:v>deterministic regex over official HTML text</x:v>
      </x:c>
    </x:row>
    <x:row r="3" ht="26" customHeight="1">
      <x:c r="A3" s="14" t="n">
        <x:v>2015</x:v>
      </x:c>
      <x:c r="B3" s="6" t="str">
        <x:v>aquatic_exports_value</x:v>
      </x:c>
      <x:c r="C3" s="18" t="n">
        <x:v>20333</x:v>
      </x:c>
      <x:c r="D3" s="6" t="str">
        <x:v>million USD</x:v>
      </x:c>
      <x:c r="E3" s="6" t="str">
        <x:v>Ministry of Agriculture and Rural Affairs of the PRC</x:v>
      </x:c>
      <x:c r="F3" s="6" t="str">
        <x:v>https://yyj.moa.gov.cn/gzdt/201904/t20190418_6195519.htm</x:v>
      </x:c>
      <x:c r="G3" s="6" t="str">
        <x:v>2026-07-23</x:v>
      </x:c>
      <x:c r="H3" s="6" t="str">
        <x:v>parsed</x:v>
      </x:c>
      <x:c r="I3" s="6" t="str">
        <x:v>deterministic regex over official HTML text</x:v>
      </x:c>
    </x:row>
    <x:row r="4" ht="26" customHeight="1">
      <x:c r="A4" s="14" t="n">
        <x:v>2015</x:v>
      </x:c>
      <x:c r="B4" s="6" t="str">
        <x:v>capture_production</x:v>
      </x:c>
      <x:c r="C4" s="18" t="n">
        <x:v>17617500</x:v>
      </x:c>
      <x:c r="D4" s="6" t="str">
        <x:v>tonnes</x:v>
      </x:c>
      <x:c r="E4" s="6" t="str">
        <x:v>Ministry of Agriculture and Rural Affairs of the PRC</x:v>
      </x:c>
      <x:c r="F4" s="6" t="str">
        <x:v>https://yyj.moa.gov.cn/gzdt/201904/t20190418_6195519.htm</x:v>
      </x:c>
      <x:c r="G4" s="6" t="str">
        <x:v>2026-07-23</x:v>
      </x:c>
      <x:c r="H4" s="6" t="str">
        <x:v>parsed</x:v>
      </x:c>
      <x:c r="I4" s="6" t="str">
        <x:v>deterministic regex over official HTML text</x:v>
      </x:c>
    </x:row>
    <x:row r="5" ht="26" customHeight="1">
      <x:c r="A5" s="14" t="n">
        <x:v>2015</x:v>
      </x:c>
      <x:c r="B5" s="6" t="str">
        <x:v>cold_storage_units</x:v>
      </x:c>
      <x:c r="C5" s="18"/>
      <x:c r="D5" s="6" t="str">
        <x:v>count</x:v>
      </x:c>
      <x:c r="E5" s="6" t="str">
        <x:v>Ministry of Agriculture and Rural Affairs of the PRC</x:v>
      </x:c>
      <x:c r="F5" s="6" t="str">
        <x:v>https://yyj.moa.gov.cn/gzdt/201904/t20190418_6195519.htm</x:v>
      </x:c>
      <x:c r="G5" s="6" t="str">
        <x:v>2026-07-23</x:v>
      </x:c>
      <x:c r="H5" s="6" t="str">
        <x:v>not_found</x:v>
      </x:c>
      <x:c r="I5" s="6" t="str">
        <x:v>deterministic regex over official HTML text</x:v>
      </x:c>
    </x:row>
    <x:row r="6" ht="26" customHeight="1">
      <x:c r="A6" s="14" t="n">
        <x:v>2015</x:v>
      </x:c>
      <x:c r="B6" s="6" t="str">
        <x:v>distant_water_capture</x:v>
      </x:c>
      <x:c r="C6" s="18" t="n">
        <x:v>2192000</x:v>
      </x:c>
      <x:c r="D6" s="6" t="str">
        <x:v>tonnes</x:v>
      </x:c>
      <x:c r="E6" s="6" t="str">
        <x:v>Ministry of Agriculture and Rural Affairs of the PRC</x:v>
      </x:c>
      <x:c r="F6" s="6" t="str">
        <x:v>https://yyj.moa.gov.cn/gzdt/201904/t20190418_6195519.htm</x:v>
      </x:c>
      <x:c r="G6" s="6" t="str">
        <x:v>2026-07-23</x:v>
      </x:c>
      <x:c r="H6" s="6" t="str">
        <x:v>parsed</x:v>
      </x:c>
      <x:c r="I6" s="6" t="str">
        <x:v>deterministic regex over official HTML text</x:v>
      </x:c>
    </x:row>
    <x:row r="7" ht="26" customHeight="1">
      <x:c r="A7" s="14" t="n">
        <x:v>2015</x:v>
      </x:c>
      <x:c r="B7" s="6" t="str">
        <x:v>fisher_per_capita_net_income</x:v>
      </x:c>
      <x:c r="C7" s="18" t="n">
        <x:v>15594.83</x:v>
      </x:c>
      <x:c r="D7" s="6" t="str">
        <x:v>RMB/year</x:v>
      </x:c>
      <x:c r="E7" s="6" t="str">
        <x:v>Ministry of Agriculture and Rural Affairs of the PRC</x:v>
      </x:c>
      <x:c r="F7" s="6" t="str">
        <x:v>https://yyj.moa.gov.cn/gzdt/201904/t20190418_6195519.htm</x:v>
      </x:c>
      <x:c r="G7" s="6" t="str">
        <x:v>2026-07-23</x:v>
      </x:c>
      <x:c r="H7" s="6" t="str">
        <x:v>parsed</x:v>
      </x:c>
      <x:c r="I7" s="6" t="str">
        <x:v>deterministic regex over official HTML text</x:v>
      </x:c>
    </x:row>
    <x:row r="8" ht="26" customHeight="1">
      <x:c r="A8" s="14" t="n">
        <x:v>2015</x:v>
      </x:c>
      <x:c r="B8" s="6" t="str">
        <x:v>motorized_fleet_power</x:v>
      </x:c>
      <x:c r="C8" s="18" t="n">
        <x:v>22569899.999999996</x:v>
      </x:c>
      <x:c r="D8" s="6" t="str">
        <x:v>kW</x:v>
      </x:c>
      <x:c r="E8" s="6" t="str">
        <x:v>Ministry of Agriculture and Rural Affairs of the PRC</x:v>
      </x:c>
      <x:c r="F8" s="6" t="str">
        <x:v>https://yyj.moa.gov.cn/gzdt/201904/t20190418_6195519.htm</x:v>
      </x:c>
      <x:c r="G8" s="6" t="str">
        <x:v>2026-07-23</x:v>
      </x:c>
      <x:c r="H8" s="6" t="str">
        <x:v>parsed</x:v>
      </x:c>
      <x:c r="I8" s="6" t="str">
        <x:v>deterministic regex over official HTML text</x:v>
      </x:c>
    </x:row>
    <x:row r="9" ht="26" customHeight="1">
      <x:c r="A9" s="14" t="n">
        <x:v>2015</x:v>
      </x:c>
      <x:c r="B9" s="6" t="str">
        <x:v>processing_enterprises</x:v>
      </x:c>
      <x:c r="C9" s="18"/>
      <x:c r="D9" s="6" t="str">
        <x:v>count</x:v>
      </x:c>
      <x:c r="E9" s="6" t="str">
        <x:v>Ministry of Agriculture and Rural Affairs of the PRC</x:v>
      </x:c>
      <x:c r="F9" s="6" t="str">
        <x:v>https://yyj.moa.gov.cn/gzdt/201904/t20190418_6195519.htm</x:v>
      </x:c>
      <x:c r="G9" s="6" t="str">
        <x:v>2026-07-23</x:v>
      </x:c>
      <x:c r="H9" s="6" t="str">
        <x:v>not_found</x:v>
      </x:c>
      <x:c r="I9" s="6" t="str">
        <x:v>deterministic regex over official HTML text</x:v>
      </x:c>
    </x:row>
    <x:row r="10" ht="26" customHeight="1">
      <x:c r="A10" s="14" t="n">
        <x:v>2015</x:v>
      </x:c>
      <x:c r="B10" s="6" t="str">
        <x:v>total_aquatic_products</x:v>
      </x:c>
      <x:c r="C10" s="18" t="n">
        <x:v>66996500</x:v>
      </x:c>
      <x:c r="D10" s="6" t="str">
        <x:v>tonnes</x:v>
      </x:c>
      <x:c r="E10" s="6" t="str">
        <x:v>Ministry of Agriculture and Rural Affairs of the PRC</x:v>
      </x:c>
      <x:c r="F10" s="6" t="str">
        <x:v>https://yyj.moa.gov.cn/gzdt/201904/t20190418_6195519.htm</x:v>
      </x:c>
      <x:c r="G10" s="6" t="str">
        <x:v>2026-07-23</x:v>
      </x:c>
      <x:c r="H10" s="6" t="str">
        <x:v>parsed</x:v>
      </x:c>
      <x:c r="I10" s="6" t="str">
        <x:v>deterministic regex over official HTML text</x:v>
      </x:c>
    </x:row>
    <x:row r="11" ht="26" customHeight="1">
      <x:c r="A11" s="14" t="n">
        <x:v>2015</x:v>
      </x:c>
      <x:c r="B11" s="6" t="str">
        <x:v>total_economic_output</x:v>
      </x:c>
      <x:c r="C11" s="18" t="n">
        <x:v>22019.94</x:v>
      </x:c>
      <x:c r="D11" s="6" t="str">
        <x:v>100 million RMB</x:v>
      </x:c>
      <x:c r="E11" s="6" t="str">
        <x:v>Ministry of Agriculture and Rural Affairs of the PRC</x:v>
      </x:c>
      <x:c r="F11" s="6" t="str">
        <x:v>https://yyj.moa.gov.cn/gzdt/201904/t20190418_6195519.htm</x:v>
      </x:c>
      <x:c r="G11" s="6" t="str">
        <x:v>2026-07-23</x:v>
      </x:c>
      <x:c r="H11" s="6" t="str">
        <x:v>parsed</x:v>
      </x:c>
      <x:c r="I11" s="6" t="str">
        <x:v>deterministic regex over official HTML text</x:v>
      </x:c>
    </x:row>
    <x:row r="12" ht="26" customHeight="1">
      <x:c r="A12" s="14" t="n">
        <x:v>2016</x:v>
      </x:c>
      <x:c r="B12" s="6" t="str">
        <x:v>aquaculture_production</x:v>
      </x:c>
      <x:c r="C12" s="18" t="n">
        <x:v>51423900</x:v>
      </x:c>
      <x:c r="D12" s="6" t="str">
        <x:v>tonnes</x:v>
      </x:c>
      <x:c r="E12" s="6" t="str">
        <x:v>Ministry of Agriculture and Rural Affairs of the PRC</x:v>
      </x:c>
      <x:c r="F12" s="6" t="str">
        <x:v>https://yyj.moa.gov.cn/gzdt/201904/t20190418_6195820.htm</x:v>
      </x:c>
      <x:c r="G12" s="6" t="str">
        <x:v>2026-07-23</x:v>
      </x:c>
      <x:c r="H12" s="6" t="str">
        <x:v>parsed</x:v>
      </x:c>
      <x:c r="I12" s="6" t="str">
        <x:v>deterministic regex over official HTML text</x:v>
      </x:c>
    </x:row>
    <x:row r="13" ht="26" customHeight="1">
      <x:c r="A13" s="14" t="n">
        <x:v>2016</x:v>
      </x:c>
      <x:c r="B13" s="6" t="str">
        <x:v>aquatic_exports_value</x:v>
      </x:c>
      <x:c r="C13" s="18" t="n">
        <x:v>20738</x:v>
      </x:c>
      <x:c r="D13" s="6" t="str">
        <x:v>million USD</x:v>
      </x:c>
      <x:c r="E13" s="6" t="str">
        <x:v>Ministry of Agriculture and Rural Affairs of the PRC</x:v>
      </x:c>
      <x:c r="F13" s="6" t="str">
        <x:v>https://yyj.moa.gov.cn/gzdt/201904/t20190418_6195820.htm</x:v>
      </x:c>
      <x:c r="G13" s="6" t="str">
        <x:v>2026-07-23</x:v>
      </x:c>
      <x:c r="H13" s="6" t="str">
        <x:v>parsed</x:v>
      </x:c>
      <x:c r="I13" s="6" t="str">
        <x:v>deterministic regex over official HTML text</x:v>
      </x:c>
    </x:row>
    <x:row r="14" ht="26" customHeight="1">
      <x:c r="A14" s="14" t="n">
        <x:v>2016</x:v>
      </x:c>
      <x:c r="B14" s="6" t="str">
        <x:v>capture_production</x:v>
      </x:c>
      <x:c r="C14" s="18" t="n">
        <x:v>17588600</x:v>
      </x:c>
      <x:c r="D14" s="6" t="str">
        <x:v>tonnes</x:v>
      </x:c>
      <x:c r="E14" s="6" t="str">
        <x:v>Ministry of Agriculture and Rural Affairs of the PRC</x:v>
      </x:c>
      <x:c r="F14" s="6" t="str">
        <x:v>https://yyj.moa.gov.cn/gzdt/201904/t20190418_6195820.htm</x:v>
      </x:c>
      <x:c r="G14" s="6" t="str">
        <x:v>2026-07-23</x:v>
      </x:c>
      <x:c r="H14" s="6" t="str">
        <x:v>parsed</x:v>
      </x:c>
      <x:c r="I14" s="6" t="str">
        <x:v>deterministic regex over official HTML text</x:v>
      </x:c>
    </x:row>
    <x:row r="15" ht="26" customHeight="1">
      <x:c r="A15" s="14" t="n">
        <x:v>2016</x:v>
      </x:c>
      <x:c r="B15" s="6" t="str">
        <x:v>cold_storage_units</x:v>
      </x:c>
      <x:c r="C15" s="18" t="n">
        <x:v>8595</x:v>
      </x:c>
      <x:c r="D15" s="6" t="str">
        <x:v>count</x:v>
      </x:c>
      <x:c r="E15" s="6" t="str">
        <x:v>Ministry of Agriculture and Rural Affairs of the PRC</x:v>
      </x:c>
      <x:c r="F15" s="6" t="str">
        <x:v>https://yyj.moa.gov.cn/gzdt/201904/t20190418_6195820.htm</x:v>
      </x:c>
      <x:c r="G15" s="6" t="str">
        <x:v>2026-07-23</x:v>
      </x:c>
      <x:c r="H15" s="6" t="str">
        <x:v>parsed</x:v>
      </x:c>
      <x:c r="I15" s="6" t="str">
        <x:v>deterministic regex over official HTML text</x:v>
      </x:c>
    </x:row>
    <x:row r="16" ht="26" customHeight="1">
      <x:c r="A16" s="14" t="n">
        <x:v>2016</x:v>
      </x:c>
      <x:c r="B16" s="6" t="str">
        <x:v>distant_water_capture</x:v>
      </x:c>
      <x:c r="C16" s="18" t="n">
        <x:v>1987500</x:v>
      </x:c>
      <x:c r="D16" s="6" t="str">
        <x:v>tonnes</x:v>
      </x:c>
      <x:c r="E16" s="6" t="str">
        <x:v>Ministry of Agriculture and Rural Affairs of the PRC</x:v>
      </x:c>
      <x:c r="F16" s="6" t="str">
        <x:v>https://yyj.moa.gov.cn/gzdt/201904/t20190418_6195820.htm</x:v>
      </x:c>
      <x:c r="G16" s="6" t="str">
        <x:v>2026-07-23</x:v>
      </x:c>
      <x:c r="H16" s="6" t="str">
        <x:v>parsed</x:v>
      </x:c>
      <x:c r="I16" s="6" t="str">
        <x:v>deterministic regex over official HTML text</x:v>
      </x:c>
    </x:row>
    <x:row r="17" ht="26" customHeight="1">
      <x:c r="A17" s="14" t="n">
        <x:v>2016</x:v>
      </x:c>
      <x:c r="B17" s="6" t="str">
        <x:v>fisher_per_capita_net_income</x:v>
      </x:c>
      <x:c r="C17" s="18" t="n">
        <x:v>16904.2</x:v>
      </x:c>
      <x:c r="D17" s="6" t="str">
        <x:v>RMB/year</x:v>
      </x:c>
      <x:c r="E17" s="6" t="str">
        <x:v>Ministry of Agriculture and Rural Affairs of the PRC</x:v>
      </x:c>
      <x:c r="F17" s="6" t="str">
        <x:v>https://yyj.moa.gov.cn/gzdt/201904/t20190418_6195820.htm</x:v>
      </x:c>
      <x:c r="G17" s="6" t="str">
        <x:v>2026-07-23</x:v>
      </x:c>
      <x:c r="H17" s="6" t="str">
        <x:v>parsed</x:v>
      </x:c>
      <x:c r="I17" s="6" t="str">
        <x:v>deterministic regex over official HTML text</x:v>
      </x:c>
    </x:row>
    <x:row r="18" ht="26" customHeight="1">
      <x:c r="A18" s="14" t="n">
        <x:v>2016</x:v>
      </x:c>
      <x:c r="B18" s="6" t="str">
        <x:v>motorized_fleet_power</x:v>
      </x:c>
      <x:c r="C18" s="18" t="n">
        <x:v>22368100</x:v>
      </x:c>
      <x:c r="D18" s="6" t="str">
        <x:v>kW</x:v>
      </x:c>
      <x:c r="E18" s="6" t="str">
        <x:v>Ministry of Agriculture and Rural Affairs of the PRC</x:v>
      </x:c>
      <x:c r="F18" s="6" t="str">
        <x:v>https://yyj.moa.gov.cn/gzdt/201904/t20190418_6195820.htm</x:v>
      </x:c>
      <x:c r="G18" s="6" t="str">
        <x:v>2026-07-23</x:v>
      </x:c>
      <x:c r="H18" s="6" t="str">
        <x:v>parsed</x:v>
      </x:c>
      <x:c r="I18" s="6" t="str">
        <x:v>deterministic regex over official HTML text</x:v>
      </x:c>
    </x:row>
    <x:row r="19" ht="26" customHeight="1">
      <x:c r="A19" s="14" t="n">
        <x:v>2016</x:v>
      </x:c>
      <x:c r="B19" s="6" t="str">
        <x:v>processing_enterprises</x:v>
      </x:c>
      <x:c r="C19" s="18" t="n">
        <x:v>9694</x:v>
      </x:c>
      <x:c r="D19" s="6" t="str">
        <x:v>count</x:v>
      </x:c>
      <x:c r="E19" s="6" t="str">
        <x:v>Ministry of Agriculture and Rural Affairs of the PRC</x:v>
      </x:c>
      <x:c r="F19" s="6" t="str">
        <x:v>https://yyj.moa.gov.cn/gzdt/201904/t20190418_6195820.htm</x:v>
      </x:c>
      <x:c r="G19" s="6" t="str">
        <x:v>2026-07-23</x:v>
      </x:c>
      <x:c r="H19" s="6" t="str">
        <x:v>parsed</x:v>
      </x:c>
      <x:c r="I19" s="6" t="str">
        <x:v>deterministic regex over official HTML text</x:v>
      </x:c>
    </x:row>
    <x:row r="20" ht="26" customHeight="1">
      <x:c r="A20" s="14" t="n">
        <x:v>2016</x:v>
      </x:c>
      <x:c r="B20" s="6" t="str">
        <x:v>total_aquatic_products</x:v>
      </x:c>
      <x:c r="C20" s="18" t="n">
        <x:v>69012500</x:v>
      </x:c>
      <x:c r="D20" s="6" t="str">
        <x:v>tonnes</x:v>
      </x:c>
      <x:c r="E20" s="6" t="str">
        <x:v>Ministry of Agriculture and Rural Affairs of the PRC</x:v>
      </x:c>
      <x:c r="F20" s="6" t="str">
        <x:v>https://yyj.moa.gov.cn/gzdt/201904/t20190418_6195820.htm</x:v>
      </x:c>
      <x:c r="G20" s="6" t="str">
        <x:v>2026-07-23</x:v>
      </x:c>
      <x:c r="H20" s="6" t="str">
        <x:v>parsed</x:v>
      </x:c>
      <x:c r="I20" s="6" t="str">
        <x:v>deterministic regex over official HTML text</x:v>
      </x:c>
    </x:row>
    <x:row r="21" ht="26" customHeight="1">
      <x:c r="A21" s="14" t="n">
        <x:v>2016</x:v>
      </x:c>
      <x:c r="B21" s="6" t="str">
        <x:v>total_economic_output</x:v>
      </x:c>
      <x:c r="C21" s="18" t="n">
        <x:v>23662.29</x:v>
      </x:c>
      <x:c r="D21" s="6" t="str">
        <x:v>100 million RMB</x:v>
      </x:c>
      <x:c r="E21" s="6" t="str">
        <x:v>Ministry of Agriculture and Rural Affairs of the PRC</x:v>
      </x:c>
      <x:c r="F21" s="6" t="str">
        <x:v>https://yyj.moa.gov.cn/gzdt/201904/t20190418_6195820.htm</x:v>
      </x:c>
      <x:c r="G21" s="6" t="str">
        <x:v>2026-07-23</x:v>
      </x:c>
      <x:c r="H21" s="6" t="str">
        <x:v>parsed</x:v>
      </x:c>
      <x:c r="I21" s="6" t="str">
        <x:v>deterministic regex over official HTML text</x:v>
      </x:c>
    </x:row>
    <x:row r="22" ht="26" customHeight="1">
      <x:c r="A22" s="14" t="n">
        <x:v>2019</x:v>
      </x:c>
      <x:c r="B22" s="6" t="str">
        <x:v>aquaculture_production</x:v>
      </x:c>
      <x:c r="C22" s="18" t="n">
        <x:v>50790700</x:v>
      </x:c>
      <x:c r="D22" s="6" t="str">
        <x:v>tonnes</x:v>
      </x:c>
      <x:c r="E22" s="6" t="str">
        <x:v>Ministry of Agriculture and Rural Affairs of the PRC</x:v>
      </x:c>
      <x:c r="F22" s="6" t="str">
        <x:v>https://cnafun.moa.gov.cn/kx/gn/202006/t20200619_6346974.html</x:v>
      </x:c>
      <x:c r="G22" s="6" t="str">
        <x:v>2026-07-23</x:v>
      </x:c>
      <x:c r="H22" s="6" t="str">
        <x:v>parsed</x:v>
      </x:c>
      <x:c r="I22" s="6" t="str">
        <x:v>deterministic regex over official HTML text</x:v>
      </x:c>
    </x:row>
    <x:row r="23" ht="26" customHeight="1">
      <x:c r="A23" s="14" t="n">
        <x:v>2019</x:v>
      </x:c>
      <x:c r="B23" s="6" t="str">
        <x:v>aquatic_exports_value</x:v>
      </x:c>
      <x:c r="C23" s="18" t="n">
        <x:v>20658</x:v>
      </x:c>
      <x:c r="D23" s="6" t="str">
        <x:v>million USD</x:v>
      </x:c>
      <x:c r="E23" s="6" t="str">
        <x:v>Ministry of Agriculture and Rural Affairs of the PRC</x:v>
      </x:c>
      <x:c r="F23" s="6" t="str">
        <x:v>https://cnafun.moa.gov.cn/kx/gn/202006/t20200619_6346974.html</x:v>
      </x:c>
      <x:c r="G23" s="6" t="str">
        <x:v>2026-07-23</x:v>
      </x:c>
      <x:c r="H23" s="6" t="str">
        <x:v>parsed</x:v>
      </x:c>
      <x:c r="I23" s="6" t="str">
        <x:v>deterministic regex over official HTML text</x:v>
      </x:c>
    </x:row>
    <x:row r="24" ht="26" customHeight="1">
      <x:c r="A24" s="14" t="n">
        <x:v>2019</x:v>
      </x:c>
      <x:c r="B24" s="6" t="str">
        <x:v>capture_production</x:v>
      </x:c>
      <x:c r="C24" s="18" t="n">
        <x:v>14012900</x:v>
      </x:c>
      <x:c r="D24" s="6" t="str">
        <x:v>tonnes</x:v>
      </x:c>
      <x:c r="E24" s="6" t="str">
        <x:v>Ministry of Agriculture and Rural Affairs of the PRC</x:v>
      </x:c>
      <x:c r="F24" s="6" t="str">
        <x:v>https://cnafun.moa.gov.cn/kx/gn/202006/t20200619_6346974.html</x:v>
      </x:c>
      <x:c r="G24" s="6" t="str">
        <x:v>2026-07-23</x:v>
      </x:c>
      <x:c r="H24" s="6" t="str">
        <x:v>parsed</x:v>
      </x:c>
      <x:c r="I24" s="6" t="str">
        <x:v>deterministic regex over official HTML text</x:v>
      </x:c>
    </x:row>
    <x:row r="25" ht="26" customHeight="1">
      <x:c r="A25" s="14" t="n">
        <x:v>2019</x:v>
      </x:c>
      <x:c r="B25" s="6" t="str">
        <x:v>cold_storage_units</x:v>
      </x:c>
      <x:c r="C25" s="18" t="n">
        <x:v>8056</x:v>
      </x:c>
      <x:c r="D25" s="6" t="str">
        <x:v>count</x:v>
      </x:c>
      <x:c r="E25" s="6" t="str">
        <x:v>Ministry of Agriculture and Rural Affairs of the PRC</x:v>
      </x:c>
      <x:c r="F25" s="6" t="str">
        <x:v>https://cnafun.moa.gov.cn/kx/gn/202006/t20200619_6346974.html</x:v>
      </x:c>
      <x:c r="G25" s="6" t="str">
        <x:v>2026-07-23</x:v>
      </x:c>
      <x:c r="H25" s="6" t="str">
        <x:v>parsed</x:v>
      </x:c>
      <x:c r="I25" s="6" t="str">
        <x:v>deterministic regex over official HTML text</x:v>
      </x:c>
    </x:row>
    <x:row r="26" ht="26" customHeight="1">
      <x:c r="A26" s="14" t="n">
        <x:v>2019</x:v>
      </x:c>
      <x:c r="B26" s="6" t="str">
        <x:v>distant_water_capture</x:v>
      </x:c>
      <x:c r="C26" s="18" t="n">
        <x:v>2170200</x:v>
      </x:c>
      <x:c r="D26" s="6" t="str">
        <x:v>tonnes</x:v>
      </x:c>
      <x:c r="E26" s="6" t="str">
        <x:v>Ministry of Agriculture and Rural Affairs of the PRC</x:v>
      </x:c>
      <x:c r="F26" s="6" t="str">
        <x:v>https://cnafun.moa.gov.cn/kx/gn/202006/t20200619_6346974.html</x:v>
      </x:c>
      <x:c r="G26" s="6" t="str">
        <x:v>2026-07-23</x:v>
      </x:c>
      <x:c r="H26" s="6" t="str">
        <x:v>parsed</x:v>
      </x:c>
      <x:c r="I26" s="6" t="str">
        <x:v>deterministic regex over official HTML text</x:v>
      </x:c>
    </x:row>
    <x:row r="27" ht="26" customHeight="1">
      <x:c r="A27" s="14" t="n">
        <x:v>2019</x:v>
      </x:c>
      <x:c r="B27" s="6" t="str">
        <x:v>fisher_per_capita_net_income</x:v>
      </x:c>
      <x:c r="C27" s="18" t="n">
        <x:v>21108.29</x:v>
      </x:c>
      <x:c r="D27" s="6" t="str">
        <x:v>RMB/year</x:v>
      </x:c>
      <x:c r="E27" s="6" t="str">
        <x:v>Ministry of Agriculture and Rural Affairs of the PRC</x:v>
      </x:c>
      <x:c r="F27" s="6" t="str">
        <x:v>https://cnafun.moa.gov.cn/kx/gn/202006/t20200619_6346974.html</x:v>
      </x:c>
      <x:c r="G27" s="6" t="str">
        <x:v>2026-07-23</x:v>
      </x:c>
      <x:c r="H27" s="6" t="str">
        <x:v>parsed</x:v>
      </x:c>
      <x:c r="I27" s="6" t="str">
        <x:v>deterministic regex over official HTML text</x:v>
      </x:c>
    </x:row>
    <x:row r="28" ht="26" customHeight="1">
      <x:c r="A28" s="14" t="n">
        <x:v>2019</x:v>
      </x:c>
      <x:c r="B28" s="6" t="str">
        <x:v>motorized_fleet_power</x:v>
      </x:c>
      <x:c r="C28" s="18" t="n">
        <x:v>19905300</x:v>
      </x:c>
      <x:c r="D28" s="6" t="str">
        <x:v>kW</x:v>
      </x:c>
      <x:c r="E28" s="6" t="str">
        <x:v>Ministry of Agriculture and Rural Affairs of the PRC</x:v>
      </x:c>
      <x:c r="F28" s="6" t="str">
        <x:v>https://cnafun.moa.gov.cn/kx/gn/202006/t20200619_6346974.html</x:v>
      </x:c>
      <x:c r="G28" s="6" t="str">
        <x:v>2026-07-23</x:v>
      </x:c>
      <x:c r="H28" s="6" t="str">
        <x:v>parsed</x:v>
      </x:c>
      <x:c r="I28" s="6" t="str">
        <x:v>deterministic regex over official HTML text</x:v>
      </x:c>
    </x:row>
    <x:row r="29" ht="26" customHeight="1">
      <x:c r="A29" s="14" t="n">
        <x:v>2019</x:v>
      </x:c>
      <x:c r="B29" s="6" t="str">
        <x:v>processing_enterprises</x:v>
      </x:c>
      <x:c r="C29" s="18" t="n">
        <x:v>9323</x:v>
      </x:c>
      <x:c r="D29" s="6" t="str">
        <x:v>count</x:v>
      </x:c>
      <x:c r="E29" s="6" t="str">
        <x:v>Ministry of Agriculture and Rural Affairs of the PRC</x:v>
      </x:c>
      <x:c r="F29" s="6" t="str">
        <x:v>https://cnafun.moa.gov.cn/kx/gn/202006/t20200619_6346974.html</x:v>
      </x:c>
      <x:c r="G29" s="6" t="str">
        <x:v>2026-07-23</x:v>
      </x:c>
      <x:c r="H29" s="6" t="str">
        <x:v>parsed</x:v>
      </x:c>
      <x:c r="I29" s="6" t="str">
        <x:v>deterministic regex over official HTML text</x:v>
      </x:c>
    </x:row>
    <x:row r="30" ht="26" customHeight="1">
      <x:c r="A30" s="14" t="n">
        <x:v>2019</x:v>
      </x:c>
      <x:c r="B30" s="6" t="str">
        <x:v>total_aquatic_products</x:v>
      </x:c>
      <x:c r="C30" s="18" t="n">
        <x:v>64803600</x:v>
      </x:c>
      <x:c r="D30" s="6" t="str">
        <x:v>tonnes</x:v>
      </x:c>
      <x:c r="E30" s="6" t="str">
        <x:v>Ministry of Agriculture and Rural Affairs of the PRC</x:v>
      </x:c>
      <x:c r="F30" s="6" t="str">
        <x:v>https://cnafun.moa.gov.cn/kx/gn/202006/t20200619_6346974.html</x:v>
      </x:c>
      <x:c r="G30" s="6" t="str">
        <x:v>2026-07-23</x:v>
      </x:c>
      <x:c r="H30" s="6" t="str">
        <x:v>parsed</x:v>
      </x:c>
      <x:c r="I30" s="6" t="str">
        <x:v>deterministic regex over official HTML text</x:v>
      </x:c>
    </x:row>
    <x:row r="31" ht="26" customHeight="1">
      <x:c r="A31" s="14" t="n">
        <x:v>2019</x:v>
      </x:c>
      <x:c r="B31" s="6" t="str">
        <x:v>total_economic_output</x:v>
      </x:c>
      <x:c r="C31" s="18" t="n">
        <x:v>26406.5</x:v>
      </x:c>
      <x:c r="D31" s="6" t="str">
        <x:v>100 million RMB</x:v>
      </x:c>
      <x:c r="E31" s="6" t="str">
        <x:v>Ministry of Agriculture and Rural Affairs of the PRC</x:v>
      </x:c>
      <x:c r="F31" s="6" t="str">
        <x:v>https://cnafun.moa.gov.cn/kx/gn/202006/t20200619_6346974.html</x:v>
      </x:c>
      <x:c r="G31" s="6" t="str">
        <x:v>2026-07-23</x:v>
      </x:c>
      <x:c r="H31" s="6" t="str">
        <x:v>parsed</x:v>
      </x:c>
      <x:c r="I31" s="6" t="str">
        <x:v>deterministic regex over official HTML text</x:v>
      </x:c>
    </x:row>
    <x:row r="32" ht="26" customHeight="1">
      <x:c r="A32" s="14" t="n">
        <x:v>2020</x:v>
      </x:c>
      <x:c r="B32" s="6" t="str">
        <x:v>aquaculture_production</x:v>
      </x:c>
      <x:c r="C32" s="18" t="n">
        <x:v>52242000</x:v>
      </x:c>
      <x:c r="D32" s="6" t="str">
        <x:v>tonnes</x:v>
      </x:c>
      <x:c r="E32" s="6" t="str">
        <x:v>Ministry of Agriculture and Rural Affairs of the PRC</x:v>
      </x:c>
      <x:c r="F32" s="6" t="str">
        <x:v>https://yyj.moa.gov.cn/gzdt/202107/t20210728_6372958.htm</x:v>
      </x:c>
      <x:c r="G32" s="6" t="str">
        <x:v>2026-07-23</x:v>
      </x:c>
      <x:c r="H32" s="6" t="str">
        <x:v>parsed</x:v>
      </x:c>
      <x:c r="I32" s="6" t="str">
        <x:v>deterministic regex over official HTML text</x:v>
      </x:c>
    </x:row>
    <x:row r="33" ht="26" customHeight="1">
      <x:c r="A33" s="14" t="n">
        <x:v>2020</x:v>
      </x:c>
      <x:c r="B33" s="6" t="str">
        <x:v>aquatic_exports_value</x:v>
      </x:c>
      <x:c r="C33" s="18" t="n">
        <x:v>19041</x:v>
      </x:c>
      <x:c r="D33" s="6" t="str">
        <x:v>million USD</x:v>
      </x:c>
      <x:c r="E33" s="6" t="str">
        <x:v>Ministry of Agriculture and Rural Affairs of the PRC</x:v>
      </x:c>
      <x:c r="F33" s="6" t="str">
        <x:v>https://yyj.moa.gov.cn/gzdt/202107/t20210728_6372958.htm</x:v>
      </x:c>
      <x:c r="G33" s="6" t="str">
        <x:v>2026-07-23</x:v>
      </x:c>
      <x:c r="H33" s="6" t="str">
        <x:v>parsed</x:v>
      </x:c>
      <x:c r="I33" s="6" t="str">
        <x:v>deterministic regex over official HTML text</x:v>
      </x:c>
    </x:row>
    <x:row r="34" ht="26" customHeight="1">
      <x:c r="A34" s="14" t="n">
        <x:v>2020</x:v>
      </x:c>
      <x:c r="B34" s="6" t="str">
        <x:v>capture_production</x:v>
      </x:c>
      <x:c r="C34" s="18" t="n">
        <x:v>13248200</x:v>
      </x:c>
      <x:c r="D34" s="6" t="str">
        <x:v>tonnes</x:v>
      </x:c>
      <x:c r="E34" s="6" t="str">
        <x:v>Ministry of Agriculture and Rural Affairs of the PRC</x:v>
      </x:c>
      <x:c r="F34" s="6" t="str">
        <x:v>https://yyj.moa.gov.cn/gzdt/202107/t20210728_6372958.htm</x:v>
      </x:c>
      <x:c r="G34" s="6" t="str">
        <x:v>2026-07-23</x:v>
      </x:c>
      <x:c r="H34" s="6" t="str">
        <x:v>parsed</x:v>
      </x:c>
      <x:c r="I34" s="6" t="str">
        <x:v>deterministic regex over official HTML text</x:v>
      </x:c>
    </x:row>
    <x:row r="35" ht="26" customHeight="1">
      <x:c r="A35" s="14" t="n">
        <x:v>2020</x:v>
      </x:c>
      <x:c r="B35" s="6" t="str">
        <x:v>cold_storage_units</x:v>
      </x:c>
      <x:c r="C35" s="18" t="n">
        <x:v>8188</x:v>
      </x:c>
      <x:c r="D35" s="6" t="str">
        <x:v>count</x:v>
      </x:c>
      <x:c r="E35" s="6" t="str">
        <x:v>Ministry of Agriculture and Rural Affairs of the PRC</x:v>
      </x:c>
      <x:c r="F35" s="6" t="str">
        <x:v>https://yyj.moa.gov.cn/gzdt/202107/t20210728_6372958.htm</x:v>
      </x:c>
      <x:c r="G35" s="6" t="str">
        <x:v>2026-07-23</x:v>
      </x:c>
      <x:c r="H35" s="6" t="str">
        <x:v>parsed</x:v>
      </x:c>
      <x:c r="I35" s="6" t="str">
        <x:v>deterministic regex over official HTML text</x:v>
      </x:c>
    </x:row>
    <x:row r="36" ht="26" customHeight="1">
      <x:c r="A36" s="14" t="n">
        <x:v>2020</x:v>
      </x:c>
      <x:c r="B36" s="6" t="str">
        <x:v>distant_water_capture</x:v>
      </x:c>
      <x:c r="C36" s="18" t="n">
        <x:v>2316600</x:v>
      </x:c>
      <x:c r="D36" s="6" t="str">
        <x:v>tonnes</x:v>
      </x:c>
      <x:c r="E36" s="6" t="str">
        <x:v>Ministry of Agriculture and Rural Affairs of the PRC</x:v>
      </x:c>
      <x:c r="F36" s="6" t="str">
        <x:v>https://yyj.moa.gov.cn/gzdt/202107/t20210728_6372958.htm</x:v>
      </x:c>
      <x:c r="G36" s="6" t="str">
        <x:v>2026-07-23</x:v>
      </x:c>
      <x:c r="H36" s="6" t="str">
        <x:v>parsed</x:v>
      </x:c>
      <x:c r="I36" s="6" t="str">
        <x:v>deterministic regex over official HTML text</x:v>
      </x:c>
    </x:row>
    <x:row r="37" ht="26" customHeight="1">
      <x:c r="A37" s="14" t="n">
        <x:v>2020</x:v>
      </x:c>
      <x:c r="B37" s="6" t="str">
        <x:v>fisher_per_capita_net_income</x:v>
      </x:c>
      <x:c r="C37" s="18" t="n">
        <x:v>21837.16</x:v>
      </x:c>
      <x:c r="D37" s="6" t="str">
        <x:v>RMB/year</x:v>
      </x:c>
      <x:c r="E37" s="6" t="str">
        <x:v>Ministry of Agriculture and Rural Affairs of the PRC</x:v>
      </x:c>
      <x:c r="F37" s="6" t="str">
        <x:v>https://yyj.moa.gov.cn/gzdt/202107/t20210728_6372958.htm</x:v>
      </x:c>
      <x:c r="G37" s="6" t="str">
        <x:v>2026-07-23</x:v>
      </x:c>
      <x:c r="H37" s="6" t="str">
        <x:v>parsed</x:v>
      </x:c>
      <x:c r="I37" s="6" t="str">
        <x:v>deterministic regex over official HTML text</x:v>
      </x:c>
    </x:row>
    <x:row r="38" ht="26" customHeight="1">
      <x:c r="A38" s="14" t="n">
        <x:v>2020</x:v>
      </x:c>
      <x:c r="B38" s="6" t="str">
        <x:v>motorized_fleet_power</x:v>
      </x:c>
      <x:c r="C38" s="18" t="n">
        <x:v>18563900</x:v>
      </x:c>
      <x:c r="D38" s="6" t="str">
        <x:v>kW</x:v>
      </x:c>
      <x:c r="E38" s="6" t="str">
        <x:v>Ministry of Agriculture and Rural Affairs of the PRC</x:v>
      </x:c>
      <x:c r="F38" s="6" t="str">
        <x:v>https://yyj.moa.gov.cn/gzdt/202107/t20210728_6372958.htm</x:v>
      </x:c>
      <x:c r="G38" s="6" t="str">
        <x:v>2026-07-23</x:v>
      </x:c>
      <x:c r="H38" s="6" t="str">
        <x:v>parsed</x:v>
      </x:c>
      <x:c r="I38" s="6" t="str">
        <x:v>deterministic regex over official HTML text</x:v>
      </x:c>
    </x:row>
    <x:row r="39" ht="26" customHeight="1">
      <x:c r="A39" s="14" t="n">
        <x:v>2020</x:v>
      </x:c>
      <x:c r="B39" s="6" t="str">
        <x:v>processing_enterprises</x:v>
      </x:c>
      <x:c r="C39" s="18" t="n">
        <x:v>9136</x:v>
      </x:c>
      <x:c r="D39" s="6" t="str">
        <x:v>count</x:v>
      </x:c>
      <x:c r="E39" s="6" t="str">
        <x:v>Ministry of Agriculture and Rural Affairs of the PRC</x:v>
      </x:c>
      <x:c r="F39" s="6" t="str">
        <x:v>https://yyj.moa.gov.cn/gzdt/202107/t20210728_6372958.htm</x:v>
      </x:c>
      <x:c r="G39" s="6" t="str">
        <x:v>2026-07-23</x:v>
      </x:c>
      <x:c r="H39" s="6" t="str">
        <x:v>parsed</x:v>
      </x:c>
      <x:c r="I39" s="6" t="str">
        <x:v>deterministic regex over official HTML text</x:v>
      </x:c>
    </x:row>
    <x:row r="40" ht="26" customHeight="1">
      <x:c r="A40" s="14" t="n">
        <x:v>2020</x:v>
      </x:c>
      <x:c r="B40" s="6" t="str">
        <x:v>total_aquatic_products</x:v>
      </x:c>
      <x:c r="C40" s="18" t="n">
        <x:v>65490200.00000001</x:v>
      </x:c>
      <x:c r="D40" s="6" t="str">
        <x:v>tonnes</x:v>
      </x:c>
      <x:c r="E40" s="6" t="str">
        <x:v>Ministry of Agriculture and Rural Affairs of the PRC</x:v>
      </x:c>
      <x:c r="F40" s="6" t="str">
        <x:v>https://yyj.moa.gov.cn/gzdt/202107/t20210728_6372958.htm</x:v>
      </x:c>
      <x:c r="G40" s="6" t="str">
        <x:v>2026-07-23</x:v>
      </x:c>
      <x:c r="H40" s="6" t="str">
        <x:v>parsed</x:v>
      </x:c>
      <x:c r="I40" s="6" t="str">
        <x:v>deterministic regex over official HTML text</x:v>
      </x:c>
    </x:row>
    <x:row r="41" ht="26" customHeight="1">
      <x:c r="A41" s="14" t="n">
        <x:v>2020</x:v>
      </x:c>
      <x:c r="B41" s="6" t="str">
        <x:v>total_economic_output</x:v>
      </x:c>
      <x:c r="C41" s="18" t="n">
        <x:v>27543.47</x:v>
      </x:c>
      <x:c r="D41" s="6" t="str">
        <x:v>100 million RMB</x:v>
      </x:c>
      <x:c r="E41" s="6" t="str">
        <x:v>Ministry of Agriculture and Rural Affairs of the PRC</x:v>
      </x:c>
      <x:c r="F41" s="6" t="str">
        <x:v>https://yyj.moa.gov.cn/gzdt/202107/t20210728_6372958.htm</x:v>
      </x:c>
      <x:c r="G41" s="6" t="str">
        <x:v>2026-07-23</x:v>
      </x:c>
      <x:c r="H41" s="6" t="str">
        <x:v>parsed</x:v>
      </x:c>
      <x:c r="I41" s="6" t="str">
        <x:v>deterministic regex over official HTML text</x:v>
      </x:c>
    </x:row>
    <x:row r="42" ht="26" customHeight="1">
      <x:c r="A42" s="14" t="n">
        <x:v>2021</x:v>
      </x:c>
      <x:c r="B42" s="6" t="str">
        <x:v>aquaculture_production</x:v>
      </x:c>
      <x:c r="C42" s="18" t="n">
        <x:v>53944100</x:v>
      </x:c>
      <x:c r="D42" s="6" t="str">
        <x:v>tonnes</x:v>
      </x:c>
      <x:c r="E42" s="6" t="str">
        <x:v>Ministry of Agriculture and Rural Affairs of the PRC</x:v>
      </x:c>
      <x:c r="F42" s="6" t="str">
        <x:v>https://yyj.moa.gov.cn/gzdt/202207/t20220721_6405222.htm</x:v>
      </x:c>
      <x:c r="G42" s="6" t="str">
        <x:v>2026-07-23</x:v>
      </x:c>
      <x:c r="H42" s="6" t="str">
        <x:v>parsed</x:v>
      </x:c>
      <x:c r="I42" s="6" t="str">
        <x:v>deterministic regex over official HTML text</x:v>
      </x:c>
    </x:row>
    <x:row r="43" ht="26" customHeight="1">
      <x:c r="A43" s="14" t="n">
        <x:v>2021</x:v>
      </x:c>
      <x:c r="B43" s="6" t="str">
        <x:v>aquatic_exports_value</x:v>
      </x:c>
      <x:c r="C43" s="18" t="n">
        <x:v>21926</x:v>
      </x:c>
      <x:c r="D43" s="6" t="str">
        <x:v>million USD</x:v>
      </x:c>
      <x:c r="E43" s="6" t="str">
        <x:v>Ministry of Agriculture and Rural Affairs of the PRC</x:v>
      </x:c>
      <x:c r="F43" s="6" t="str">
        <x:v>https://yyj.moa.gov.cn/gzdt/202207/t20220721_6405222.htm</x:v>
      </x:c>
      <x:c r="G43" s="6" t="str">
        <x:v>2026-07-23</x:v>
      </x:c>
      <x:c r="H43" s="6" t="str">
        <x:v>parsed</x:v>
      </x:c>
      <x:c r="I43" s="6" t="str">
        <x:v>deterministic regex over official HTML text</x:v>
      </x:c>
    </x:row>
    <x:row r="44" ht="26" customHeight="1">
      <x:c r="A44" s="14" t="n">
        <x:v>2021</x:v>
      </x:c>
      <x:c r="B44" s="6" t="str">
        <x:v>capture_production</x:v>
      </x:c>
      <x:c r="C44" s="18" t="n">
        <x:v>12958900.000000002</x:v>
      </x:c>
      <x:c r="D44" s="6" t="str">
        <x:v>tonnes</x:v>
      </x:c>
      <x:c r="E44" s="6" t="str">
        <x:v>Ministry of Agriculture and Rural Affairs of the PRC</x:v>
      </x:c>
      <x:c r="F44" s="6" t="str">
        <x:v>https://yyj.moa.gov.cn/gzdt/202207/t20220721_6405222.htm</x:v>
      </x:c>
      <x:c r="G44" s="6" t="str">
        <x:v>2026-07-23</x:v>
      </x:c>
      <x:c r="H44" s="6" t="str">
        <x:v>parsed</x:v>
      </x:c>
      <x:c r="I44" s="6" t="str">
        <x:v>deterministic regex over official HTML text</x:v>
      </x:c>
    </x:row>
    <x:row r="45" ht="26" customHeight="1">
      <x:c r="A45" s="14" t="n">
        <x:v>2021</x:v>
      </x:c>
      <x:c r="B45" s="6" t="str">
        <x:v>cold_storage_units</x:v>
      </x:c>
      <x:c r="C45" s="18" t="n">
        <x:v>8454</x:v>
      </x:c>
      <x:c r="D45" s="6" t="str">
        <x:v>count</x:v>
      </x:c>
      <x:c r="E45" s="6" t="str">
        <x:v>Ministry of Agriculture and Rural Affairs of the PRC</x:v>
      </x:c>
      <x:c r="F45" s="6" t="str">
        <x:v>https://yyj.moa.gov.cn/gzdt/202207/t20220721_6405222.htm</x:v>
      </x:c>
      <x:c r="G45" s="6" t="str">
        <x:v>2026-07-23</x:v>
      </x:c>
      <x:c r="H45" s="6" t="str">
        <x:v>parsed</x:v>
      </x:c>
      <x:c r="I45" s="6" t="str">
        <x:v>deterministic regex over official HTML text</x:v>
      </x:c>
    </x:row>
    <x:row r="46" ht="26" customHeight="1">
      <x:c r="A46" s="14" t="n">
        <x:v>2021</x:v>
      </x:c>
      <x:c r="B46" s="6" t="str">
        <x:v>distant_water_capture</x:v>
      </x:c>
      <x:c r="C46" s="18" t="n">
        <x:v>2246500</x:v>
      </x:c>
      <x:c r="D46" s="6" t="str">
        <x:v>tonnes</x:v>
      </x:c>
      <x:c r="E46" s="6" t="str">
        <x:v>Ministry of Agriculture and Rural Affairs of the PRC</x:v>
      </x:c>
      <x:c r="F46" s="6" t="str">
        <x:v>https://yyj.moa.gov.cn/gzdt/202207/t20220721_6405222.htm</x:v>
      </x:c>
      <x:c r="G46" s="6" t="str">
        <x:v>2026-07-23</x:v>
      </x:c>
      <x:c r="H46" s="6" t="str">
        <x:v>parsed</x:v>
      </x:c>
      <x:c r="I46" s="6" t="str">
        <x:v>deterministic regex over official HTML text</x:v>
      </x:c>
    </x:row>
    <x:row r="47" ht="26" customHeight="1">
      <x:c r="A47" s="14" t="n">
        <x:v>2021</x:v>
      </x:c>
      <x:c r="B47" s="6" t="str">
        <x:v>fisher_per_capita_net_income</x:v>
      </x:c>
      <x:c r="C47" s="18" t="n">
        <x:v>23442.13</x:v>
      </x:c>
      <x:c r="D47" s="6" t="str">
        <x:v>RMB/year</x:v>
      </x:c>
      <x:c r="E47" s="6" t="str">
        <x:v>Ministry of Agriculture and Rural Affairs of the PRC</x:v>
      </x:c>
      <x:c r="F47" s="6" t="str">
        <x:v>https://yyj.moa.gov.cn/gzdt/202207/t20220721_6405222.htm</x:v>
      </x:c>
      <x:c r="G47" s="6" t="str">
        <x:v>2026-07-23</x:v>
      </x:c>
      <x:c r="H47" s="6" t="str">
        <x:v>parsed</x:v>
      </x:c>
      <x:c r="I47" s="6" t="str">
        <x:v>deterministic regex over official HTML text</x:v>
      </x:c>
    </x:row>
    <x:row r="48" ht="26" customHeight="1">
      <x:c r="A48" s="14" t="n">
        <x:v>2021</x:v>
      </x:c>
      <x:c r="B48" s="6" t="str">
        <x:v>motorized_fleet_power</x:v>
      </x:c>
      <x:c r="C48" s="18" t="n">
        <x:v>18452000</x:v>
      </x:c>
      <x:c r="D48" s="6" t="str">
        <x:v>kW</x:v>
      </x:c>
      <x:c r="E48" s="6" t="str">
        <x:v>Ministry of Agriculture and Rural Affairs of the PRC</x:v>
      </x:c>
      <x:c r="F48" s="6" t="str">
        <x:v>https://yyj.moa.gov.cn/gzdt/202207/t20220721_6405222.htm</x:v>
      </x:c>
      <x:c r="G48" s="6" t="str">
        <x:v>2026-07-23</x:v>
      </x:c>
      <x:c r="H48" s="6" t="str">
        <x:v>parsed</x:v>
      </x:c>
      <x:c r="I48" s="6" t="str">
        <x:v>deterministic regex over official HTML text</x:v>
      </x:c>
    </x:row>
    <x:row r="49" ht="26" customHeight="1">
      <x:c r="A49" s="14" t="n">
        <x:v>2021</x:v>
      </x:c>
      <x:c r="B49" s="6" t="str">
        <x:v>processing_enterprises</x:v>
      </x:c>
      <x:c r="C49" s="18" t="n">
        <x:v>9202</x:v>
      </x:c>
      <x:c r="D49" s="6" t="str">
        <x:v>count</x:v>
      </x:c>
      <x:c r="E49" s="6" t="str">
        <x:v>Ministry of Agriculture and Rural Affairs of the PRC</x:v>
      </x:c>
      <x:c r="F49" s="6" t="str">
        <x:v>https://yyj.moa.gov.cn/gzdt/202207/t20220721_6405222.htm</x:v>
      </x:c>
      <x:c r="G49" s="6" t="str">
        <x:v>2026-07-23</x:v>
      </x:c>
      <x:c r="H49" s="6" t="str">
        <x:v>parsed</x:v>
      </x:c>
      <x:c r="I49" s="6" t="str">
        <x:v>deterministic regex over official HTML text</x:v>
      </x:c>
    </x:row>
    <x:row r="50" ht="26" customHeight="1">
      <x:c r="A50" s="14" t="n">
        <x:v>2021</x:v>
      </x:c>
      <x:c r="B50" s="6" t="str">
        <x:v>total_aquatic_products</x:v>
      </x:c>
      <x:c r="C50" s="18" t="n">
        <x:v>66902900</x:v>
      </x:c>
      <x:c r="D50" s="6" t="str">
        <x:v>tonnes</x:v>
      </x:c>
      <x:c r="E50" s="6" t="str">
        <x:v>Ministry of Agriculture and Rural Affairs of the PRC</x:v>
      </x:c>
      <x:c r="F50" s="6" t="str">
        <x:v>https://yyj.moa.gov.cn/gzdt/202207/t20220721_6405222.htm</x:v>
      </x:c>
      <x:c r="G50" s="6" t="str">
        <x:v>2026-07-23</x:v>
      </x:c>
      <x:c r="H50" s="6" t="str">
        <x:v>parsed</x:v>
      </x:c>
      <x:c r="I50" s="6" t="str">
        <x:v>deterministic regex over official HTML text</x:v>
      </x:c>
    </x:row>
    <x:row r="51" ht="26" customHeight="1">
      <x:c r="A51" s="14" t="n">
        <x:v>2021</x:v>
      </x:c>
      <x:c r="B51" s="6" t="str">
        <x:v>total_economic_output</x:v>
      </x:c>
      <x:c r="C51" s="18" t="n">
        <x:v>29689.73</x:v>
      </x:c>
      <x:c r="D51" s="6" t="str">
        <x:v>100 million RMB</x:v>
      </x:c>
      <x:c r="E51" s="6" t="str">
        <x:v>Ministry of Agriculture and Rural Affairs of the PRC</x:v>
      </x:c>
      <x:c r="F51" s="6" t="str">
        <x:v>https://yyj.moa.gov.cn/gzdt/202207/t20220721_6405222.htm</x:v>
      </x:c>
      <x:c r="G51" s="6" t="str">
        <x:v>2026-07-23</x:v>
      </x:c>
      <x:c r="H51" s="6" t="str">
        <x:v>parsed</x:v>
      </x:c>
      <x:c r="I51" s="6" t="str">
        <x:v>deterministic regex over official HTML text</x:v>
      </x:c>
    </x:row>
    <x:row r="52" ht="26" customHeight="1">
      <x:c r="A52" s="14" t="n">
        <x:v>2022</x:v>
      </x:c>
      <x:c r="B52" s="6" t="str">
        <x:v>aquaculture_production</x:v>
      </x:c>
      <x:c r="C52" s="18" t="n">
        <x:v>55654600</x:v>
      </x:c>
      <x:c r="D52" s="6" t="str">
        <x:v>tonnes</x:v>
      </x:c>
      <x:c r="E52" s="6" t="str">
        <x:v>Ministry of Agriculture and Rural Affairs of the PRC</x:v>
      </x:c>
      <x:c r="F52" s="6" t="str">
        <x:v>https://yyj.moa.gov.cn/yqxx/202306/t20230628_6431131.htm</x:v>
      </x:c>
      <x:c r="G52" s="6" t="str">
        <x:v>2026-07-23</x:v>
      </x:c>
      <x:c r="H52" s="6" t="str">
        <x:v>parsed</x:v>
      </x:c>
      <x:c r="I52" s="6" t="str">
        <x:v>deterministic regex over official HTML text</x:v>
      </x:c>
    </x:row>
    <x:row r="53" ht="26" customHeight="1">
      <x:c r="A53" s="14" t="n">
        <x:v>2022</x:v>
      </x:c>
      <x:c r="B53" s="6" t="str">
        <x:v>aquatic_exports_value</x:v>
      </x:c>
      <x:c r="C53" s="18"/>
      <x:c r="D53" s="6" t="str">
        <x:v>million USD</x:v>
      </x:c>
      <x:c r="E53" s="6" t="str">
        <x:v>Ministry of Agriculture and Rural Affairs of the PRC</x:v>
      </x:c>
      <x:c r="F53" s="6" t="str">
        <x:v>https://yyj.moa.gov.cn/yqxx/202306/t20230628_6431131.htm</x:v>
      </x:c>
      <x:c r="G53" s="6" t="str">
        <x:v>2026-07-23</x:v>
      </x:c>
      <x:c r="H53" s="6" t="str">
        <x:v>not_found</x:v>
      </x:c>
      <x:c r="I53" s="6" t="str">
        <x:v>deterministic regex over official HTML text</x:v>
      </x:c>
    </x:row>
    <x:row r="54" ht="26" customHeight="1">
      <x:c r="A54" s="14" t="n">
        <x:v>2022</x:v>
      </x:c>
      <x:c r="B54" s="6" t="str">
        <x:v>capture_production</x:v>
      </x:c>
      <x:c r="C54" s="18" t="n">
        <x:v>13004500</x:v>
      </x:c>
      <x:c r="D54" s="6" t="str">
        <x:v>tonnes</x:v>
      </x:c>
      <x:c r="E54" s="6" t="str">
        <x:v>Ministry of Agriculture and Rural Affairs of the PRC</x:v>
      </x:c>
      <x:c r="F54" s="6" t="str">
        <x:v>https://yyj.moa.gov.cn/yqxx/202306/t20230628_6431131.htm</x:v>
      </x:c>
      <x:c r="G54" s="6" t="str">
        <x:v>2026-07-23</x:v>
      </x:c>
      <x:c r="H54" s="6" t="str">
        <x:v>parsed</x:v>
      </x:c>
      <x:c r="I54" s="6" t="str">
        <x:v>deterministic regex over official HTML text</x:v>
      </x:c>
    </x:row>
    <x:row r="55" ht="26" customHeight="1">
      <x:c r="A55" s="14" t="n">
        <x:v>2022</x:v>
      </x:c>
      <x:c r="B55" s="6" t="str">
        <x:v>cold_storage_units</x:v>
      </x:c>
      <x:c r="C55" s="18" t="n">
        <x:v>8675</x:v>
      </x:c>
      <x:c r="D55" s="6" t="str">
        <x:v>count</x:v>
      </x:c>
      <x:c r="E55" s="6" t="str">
        <x:v>Ministry of Agriculture and Rural Affairs of the PRC</x:v>
      </x:c>
      <x:c r="F55" s="6" t="str">
        <x:v>https://yyj.moa.gov.cn/yqxx/202306/t20230628_6431131.htm</x:v>
      </x:c>
      <x:c r="G55" s="6" t="str">
        <x:v>2026-07-23</x:v>
      </x:c>
      <x:c r="H55" s="6" t="str">
        <x:v>parsed</x:v>
      </x:c>
      <x:c r="I55" s="6" t="str">
        <x:v>deterministic regex over official HTML text</x:v>
      </x:c>
    </x:row>
    <x:row r="56" ht="26" customHeight="1">
      <x:c r="A56" s="14" t="n">
        <x:v>2022</x:v>
      </x:c>
      <x:c r="B56" s="6" t="str">
        <x:v>distant_water_capture</x:v>
      </x:c>
      <x:c r="C56" s="18" t="n">
        <x:v>2329800</x:v>
      </x:c>
      <x:c r="D56" s="6" t="str">
        <x:v>tonnes</x:v>
      </x:c>
      <x:c r="E56" s="6" t="str">
        <x:v>Ministry of Agriculture and Rural Affairs of the PRC</x:v>
      </x:c>
      <x:c r="F56" s="6" t="str">
        <x:v>https://yyj.moa.gov.cn/yqxx/202306/t20230628_6431131.htm</x:v>
      </x:c>
      <x:c r="G56" s="6" t="str">
        <x:v>2026-07-23</x:v>
      </x:c>
      <x:c r="H56" s="6" t="str">
        <x:v>parsed</x:v>
      </x:c>
      <x:c r="I56" s="6" t="str">
        <x:v>deterministic regex over official HTML text</x:v>
      </x:c>
    </x:row>
    <x:row r="57" ht="26" customHeight="1">
      <x:c r="A57" s="14" t="n">
        <x:v>2022</x:v>
      </x:c>
      <x:c r="B57" s="6" t="str">
        <x:v>fisher_per_capita_net_income</x:v>
      </x:c>
      <x:c r="C57" s="18" t="n">
        <x:v>24614.41</x:v>
      </x:c>
      <x:c r="D57" s="6" t="str">
        <x:v>RMB/year</x:v>
      </x:c>
      <x:c r="E57" s="6" t="str">
        <x:v>Ministry of Agriculture and Rural Affairs of the PRC</x:v>
      </x:c>
      <x:c r="F57" s="6" t="str">
        <x:v>https://yyj.moa.gov.cn/yqxx/202306/t20230628_6431131.htm</x:v>
      </x:c>
      <x:c r="G57" s="6" t="str">
        <x:v>2026-07-23</x:v>
      </x:c>
      <x:c r="H57" s="6" t="str">
        <x:v>parsed</x:v>
      </x:c>
      <x:c r="I57" s="6" t="str">
        <x:v>deterministic regex over official HTML text</x:v>
      </x:c>
    </x:row>
    <x:row r="58" ht="26" customHeight="1">
      <x:c r="A58" s="14" t="n">
        <x:v>2022</x:v>
      </x:c>
      <x:c r="B58" s="6" t="str">
        <x:v>motorized_fleet_power</x:v>
      </x:c>
      <x:c r="C58" s="18" t="n">
        <x:v>18370200</x:v>
      </x:c>
      <x:c r="D58" s="6" t="str">
        <x:v>kW</x:v>
      </x:c>
      <x:c r="E58" s="6" t="str">
        <x:v>Ministry of Agriculture and Rural Affairs of the PRC</x:v>
      </x:c>
      <x:c r="F58" s="6" t="str">
        <x:v>https://yyj.moa.gov.cn/yqxx/202306/t20230628_6431131.htm</x:v>
      </x:c>
      <x:c r="G58" s="6" t="str">
        <x:v>2026-07-23</x:v>
      </x:c>
      <x:c r="H58" s="6" t="str">
        <x:v>parsed</x:v>
      </x:c>
      <x:c r="I58" s="6" t="str">
        <x:v>deterministic regex over official HTML text</x:v>
      </x:c>
    </x:row>
    <x:row r="59" ht="26" customHeight="1">
      <x:c r="A59" s="14" t="n">
        <x:v>2022</x:v>
      </x:c>
      <x:c r="B59" s="6" t="str">
        <x:v>processing_enterprises</x:v>
      </x:c>
      <x:c r="C59" s="18" t="n">
        <x:v>9331</x:v>
      </x:c>
      <x:c r="D59" s="6" t="str">
        <x:v>count</x:v>
      </x:c>
      <x:c r="E59" s="6" t="str">
        <x:v>Ministry of Agriculture and Rural Affairs of the PRC</x:v>
      </x:c>
      <x:c r="F59" s="6" t="str">
        <x:v>https://yyj.moa.gov.cn/yqxx/202306/t20230628_6431131.htm</x:v>
      </x:c>
      <x:c r="G59" s="6" t="str">
        <x:v>2026-07-23</x:v>
      </x:c>
      <x:c r="H59" s="6" t="str">
        <x:v>parsed</x:v>
      </x:c>
      <x:c r="I59" s="6" t="str">
        <x:v>deterministic regex over official HTML text</x:v>
      </x:c>
    </x:row>
    <x:row r="60" ht="26" customHeight="1">
      <x:c r="A60" s="14" t="n">
        <x:v>2022</x:v>
      </x:c>
      <x:c r="B60" s="6" t="str">
        <x:v>total_aquatic_products</x:v>
      </x:c>
      <x:c r="C60" s="18" t="n">
        <x:v>68659100</x:v>
      </x:c>
      <x:c r="D60" s="6" t="str">
        <x:v>tonnes</x:v>
      </x:c>
      <x:c r="E60" s="6" t="str">
        <x:v>Ministry of Agriculture and Rural Affairs of the PRC</x:v>
      </x:c>
      <x:c r="F60" s="6" t="str">
        <x:v>https://yyj.moa.gov.cn/yqxx/202306/t20230628_6431131.htm</x:v>
      </x:c>
      <x:c r="G60" s="6" t="str">
        <x:v>2026-07-23</x:v>
      </x:c>
      <x:c r="H60" s="6" t="str">
        <x:v>parsed</x:v>
      </x:c>
      <x:c r="I60" s="6" t="str">
        <x:v>deterministic regex over official HTML text</x:v>
      </x:c>
    </x:row>
    <x:row r="61" ht="26" customHeight="1">
      <x:c r="A61" s="14" t="n">
        <x:v>2022</x:v>
      </x:c>
      <x:c r="B61" s="6" t="str">
        <x:v>total_economic_output</x:v>
      </x:c>
      <x:c r="C61" s="18" t="n">
        <x:v>30873.14</x:v>
      </x:c>
      <x:c r="D61" s="6" t="str">
        <x:v>100 million RMB</x:v>
      </x:c>
      <x:c r="E61" s="6" t="str">
        <x:v>Ministry of Agriculture and Rural Affairs of the PRC</x:v>
      </x:c>
      <x:c r="F61" s="6" t="str">
        <x:v>https://yyj.moa.gov.cn/yqxx/202306/t20230628_6431131.htm</x:v>
      </x:c>
      <x:c r="G61" s="6" t="str">
        <x:v>2026-07-23</x:v>
      </x:c>
      <x:c r="H61" s="6" t="str">
        <x:v>parsed</x:v>
      </x:c>
      <x:c r="I61" s="6" t="str">
        <x:v>deterministic regex over official HTML text</x:v>
      </x:c>
    </x:row>
    <x:row r="62" ht="26" customHeight="1">
      <x:c r="A62" s="14" t="n">
        <x:v>2023</x:v>
      </x:c>
      <x:c r="B62" s="6" t="str">
        <x:v>aquaculture_production</x:v>
      </x:c>
      <x:c r="C62" s="18" t="n">
        <x:v>58096100</x:v>
      </x:c>
      <x:c r="D62" s="6" t="str">
        <x:v>tonnes</x:v>
      </x:c>
      <x:c r="E62" s="6" t="str">
        <x:v>Ministry of Agriculture and Rural Affairs of the PRC</x:v>
      </x:c>
      <x:c r="F62" s="6" t="str">
        <x:v>https://yyj.moa.gov.cn/gzdt/202407/t20240705_6458486.htm</x:v>
      </x:c>
      <x:c r="G62" s="6" t="str">
        <x:v>2026-07-23</x:v>
      </x:c>
      <x:c r="H62" s="6" t="str">
        <x:v>parsed</x:v>
      </x:c>
      <x:c r="I62" s="6" t="str">
        <x:v>deterministic regex over official HTML text</x:v>
      </x:c>
    </x:row>
    <x:row r="63" ht="26" customHeight="1">
      <x:c r="A63" s="14" t="n">
        <x:v>2023</x:v>
      </x:c>
      <x:c r="B63" s="6" t="str">
        <x:v>aquatic_exports_value</x:v>
      </x:c>
      <x:c r="C63" s="18" t="n">
        <x:v>20463</x:v>
      </x:c>
      <x:c r="D63" s="6" t="str">
        <x:v>million USD</x:v>
      </x:c>
      <x:c r="E63" s="6" t="str">
        <x:v>Ministry of Agriculture and Rural Affairs of the PRC</x:v>
      </x:c>
      <x:c r="F63" s="6" t="str">
        <x:v>https://yyj.moa.gov.cn/gzdt/202407/t20240705_6458486.htm</x:v>
      </x:c>
      <x:c r="G63" s="6" t="str">
        <x:v>2026-07-23</x:v>
      </x:c>
      <x:c r="H63" s="6" t="str">
        <x:v>parsed</x:v>
      </x:c>
      <x:c r="I63" s="6" t="str">
        <x:v>deterministic regex over official HTML text</x:v>
      </x:c>
    </x:row>
    <x:row r="64" ht="26" customHeight="1">
      <x:c r="A64" s="14" t="n">
        <x:v>2023</x:v>
      </x:c>
      <x:c r="B64" s="6" t="str">
        <x:v>capture_production</x:v>
      </x:c>
      <x:c r="C64" s="18" t="n">
        <x:v>13065600</x:v>
      </x:c>
      <x:c r="D64" s="6" t="str">
        <x:v>tonnes</x:v>
      </x:c>
      <x:c r="E64" s="6" t="str">
        <x:v>Ministry of Agriculture and Rural Affairs of the PRC</x:v>
      </x:c>
      <x:c r="F64" s="6" t="str">
        <x:v>https://yyj.moa.gov.cn/gzdt/202407/t20240705_6458486.htm</x:v>
      </x:c>
      <x:c r="G64" s="6" t="str">
        <x:v>2026-07-23</x:v>
      </x:c>
      <x:c r="H64" s="6" t="str">
        <x:v>parsed</x:v>
      </x:c>
      <x:c r="I64" s="6" t="str">
        <x:v>deterministic regex over official HTML text</x:v>
      </x:c>
    </x:row>
    <x:row r="65" ht="26" customHeight="1">
      <x:c r="A65" s="14" t="n">
        <x:v>2023</x:v>
      </x:c>
      <x:c r="B65" s="6" t="str">
        <x:v>cold_storage_units</x:v>
      </x:c>
      <x:c r="C65" s="18" t="n">
        <x:v>9143</x:v>
      </x:c>
      <x:c r="D65" s="6" t="str">
        <x:v>count</x:v>
      </x:c>
      <x:c r="E65" s="6" t="str">
        <x:v>Ministry of Agriculture and Rural Affairs of the PRC</x:v>
      </x:c>
      <x:c r="F65" s="6" t="str">
        <x:v>https://yyj.moa.gov.cn/gzdt/202407/t20240705_6458486.htm</x:v>
      </x:c>
      <x:c r="G65" s="6" t="str">
        <x:v>2026-07-23</x:v>
      </x:c>
      <x:c r="H65" s="6" t="str">
        <x:v>parsed</x:v>
      </x:c>
      <x:c r="I65" s="6" t="str">
        <x:v>deterministic regex over official HTML text</x:v>
      </x:c>
    </x:row>
    <x:row r="66" ht="26" customHeight="1">
      <x:c r="A66" s="14" t="n">
        <x:v>2023</x:v>
      </x:c>
      <x:c r="B66" s="6" t="str">
        <x:v>distant_water_capture</x:v>
      </x:c>
      <x:c r="C66" s="18" t="n">
        <x:v>2322300</x:v>
      </x:c>
      <x:c r="D66" s="6" t="str">
        <x:v>tonnes</x:v>
      </x:c>
      <x:c r="E66" s="6" t="str">
        <x:v>Ministry of Agriculture and Rural Affairs of the PRC</x:v>
      </x:c>
      <x:c r="F66" s="6" t="str">
        <x:v>https://yyj.moa.gov.cn/gzdt/202407/t20240705_6458486.htm</x:v>
      </x:c>
      <x:c r="G66" s="6" t="str">
        <x:v>2026-07-23</x:v>
      </x:c>
      <x:c r="H66" s="6" t="str">
        <x:v>parsed</x:v>
      </x:c>
      <x:c r="I66" s="6" t="str">
        <x:v>deterministic regex over official HTML text</x:v>
      </x:c>
    </x:row>
    <x:row r="67" ht="26" customHeight="1">
      <x:c r="A67" s="14" t="n">
        <x:v>2023</x:v>
      </x:c>
      <x:c r="B67" s="6" t="str">
        <x:v>fisher_per_capita_net_income</x:v>
      </x:c>
      <x:c r="C67" s="18" t="n">
        <x:v>25777.21</x:v>
      </x:c>
      <x:c r="D67" s="6" t="str">
        <x:v>RMB/year</x:v>
      </x:c>
      <x:c r="E67" s="6" t="str">
        <x:v>Ministry of Agriculture and Rural Affairs of the PRC</x:v>
      </x:c>
      <x:c r="F67" s="6" t="str">
        <x:v>https://yyj.moa.gov.cn/gzdt/202407/t20240705_6458486.htm</x:v>
      </x:c>
      <x:c r="G67" s="6" t="str">
        <x:v>2026-07-23</x:v>
      </x:c>
      <x:c r="H67" s="6" t="str">
        <x:v>parsed</x:v>
      </x:c>
      <x:c r="I67" s="6" t="str">
        <x:v>deterministic regex over official HTML text</x:v>
      </x:c>
    </x:row>
    <x:row r="68" ht="26" customHeight="1">
      <x:c r="A68" s="14" t="n">
        <x:v>2023</x:v>
      </x:c>
      <x:c r="B68" s="6" t="str">
        <x:v>motorized_fleet_power</x:v>
      </x:c>
      <x:c r="C68" s="18" t="n">
        <x:v>18940200</x:v>
      </x:c>
      <x:c r="D68" s="6" t="str">
        <x:v>kW</x:v>
      </x:c>
      <x:c r="E68" s="6" t="str">
        <x:v>Ministry of Agriculture and Rural Affairs of the PRC</x:v>
      </x:c>
      <x:c r="F68" s="6" t="str">
        <x:v>https://yyj.moa.gov.cn/gzdt/202407/t20240705_6458486.htm</x:v>
      </x:c>
      <x:c r="G68" s="6" t="str">
        <x:v>2026-07-23</x:v>
      </x:c>
      <x:c r="H68" s="6" t="str">
        <x:v>parsed</x:v>
      </x:c>
      <x:c r="I68" s="6" t="str">
        <x:v>deterministic regex over official HTML text</x:v>
      </x:c>
    </x:row>
    <x:row r="69" ht="26" customHeight="1">
      <x:c r="A69" s="14" t="n">
        <x:v>2023</x:v>
      </x:c>
      <x:c r="B69" s="6" t="str">
        <x:v>processing_enterprises</x:v>
      </x:c>
      <x:c r="C69" s="18" t="n">
        <x:v>9433</x:v>
      </x:c>
      <x:c r="D69" s="6" t="str">
        <x:v>count</x:v>
      </x:c>
      <x:c r="E69" s="6" t="str">
        <x:v>Ministry of Agriculture and Rural Affairs of the PRC</x:v>
      </x:c>
      <x:c r="F69" s="6" t="str">
        <x:v>https://yyj.moa.gov.cn/gzdt/202407/t20240705_6458486.htm</x:v>
      </x:c>
      <x:c r="G69" s="6" t="str">
        <x:v>2026-07-23</x:v>
      </x:c>
      <x:c r="H69" s="6" t="str">
        <x:v>parsed</x:v>
      </x:c>
      <x:c r="I69" s="6" t="str">
        <x:v>deterministic regex over official HTML text</x:v>
      </x:c>
    </x:row>
    <x:row r="70" ht="26" customHeight="1">
      <x:c r="A70" s="14" t="n">
        <x:v>2023</x:v>
      </x:c>
      <x:c r="B70" s="6" t="str">
        <x:v>total_aquatic_products</x:v>
      </x:c>
      <x:c r="C70" s="18" t="n">
        <x:v>71161700</x:v>
      </x:c>
      <x:c r="D70" s="6" t="str">
        <x:v>tonnes</x:v>
      </x:c>
      <x:c r="E70" s="6" t="str">
        <x:v>Ministry of Agriculture and Rural Affairs of the PRC</x:v>
      </x:c>
      <x:c r="F70" s="6" t="str">
        <x:v>https://yyj.moa.gov.cn/gzdt/202407/t20240705_6458486.htm</x:v>
      </x:c>
      <x:c r="G70" s="6" t="str">
        <x:v>2026-07-23</x:v>
      </x:c>
      <x:c r="H70" s="6" t="str">
        <x:v>parsed</x:v>
      </x:c>
      <x:c r="I70" s="6" t="str">
        <x:v>deterministic regex over official HTML text</x:v>
      </x:c>
    </x:row>
    <x:row r="71" ht="26" customHeight="1">
      <x:c r="A71" s="14" t="n">
        <x:v>2023</x:v>
      </x:c>
      <x:c r="B71" s="6" t="str">
        <x:v>total_economic_output</x:v>
      </x:c>
      <x:c r="C71" s="18" t="n">
        <x:v>32669.96</x:v>
      </x:c>
      <x:c r="D71" s="6" t="str">
        <x:v>100 million RMB</x:v>
      </x:c>
      <x:c r="E71" s="6" t="str">
        <x:v>Ministry of Agriculture and Rural Affairs of the PRC</x:v>
      </x:c>
      <x:c r="F71" s="6" t="str">
        <x:v>https://yyj.moa.gov.cn/gzdt/202407/t20240705_6458486.htm</x:v>
      </x:c>
      <x:c r="G71" s="6" t="str">
        <x:v>2026-07-23</x:v>
      </x:c>
      <x:c r="H71" s="6" t="str">
        <x:v>parsed</x:v>
      </x:c>
      <x:c r="I71" s="6" t="str">
        <x:v>deterministic regex over official HTML text</x:v>
      </x:c>
    </x:row>
    <x:row r="72" ht="26" customHeight="1">
      <x:c r="A72" s="14" t="n">
        <x:v>2024</x:v>
      </x:c>
      <x:c r="B72" s="6" t="str">
        <x:v>aquaculture_production</x:v>
      </x:c>
      <x:c r="C72" s="18" t="n">
        <x:v>60600300</x:v>
      </x:c>
      <x:c r="D72" s="6" t="str">
        <x:v>tonnes</x:v>
      </x:c>
      <x:c r="E72" s="6" t="str">
        <x:v>Ministry of Agriculture and Rural Affairs of the PRC</x:v>
      </x:c>
      <x:c r="F72" s="6" t="str">
        <x:v>https://yyj.moa.gov.cn/gzdt/202507/t20250707_6475475.htm</x:v>
      </x:c>
      <x:c r="G72" s="6" t="str">
        <x:v>2026-07-23</x:v>
      </x:c>
      <x:c r="H72" s="6" t="str">
        <x:v>parsed</x:v>
      </x:c>
      <x:c r="I72" s="6" t="str">
        <x:v>deterministic regex over official HTML text</x:v>
      </x:c>
    </x:row>
    <x:row r="73" ht="26" customHeight="1">
      <x:c r="A73" s="14" t="n">
        <x:v>2024</x:v>
      </x:c>
      <x:c r="B73" s="6" t="str">
        <x:v>aquatic_exports_value</x:v>
      </x:c>
      <x:c r="C73" s="18" t="n">
        <x:v>20740</x:v>
      </x:c>
      <x:c r="D73" s="6" t="str">
        <x:v>million USD</x:v>
      </x:c>
      <x:c r="E73" s="6" t="str">
        <x:v>Ministry of Agriculture and Rural Affairs of the PRC</x:v>
      </x:c>
      <x:c r="F73" s="6" t="str">
        <x:v>https://yyj.moa.gov.cn/gzdt/202507/t20250707_6475475.htm</x:v>
      </x:c>
      <x:c r="G73" s="6" t="str">
        <x:v>2026-07-23</x:v>
      </x:c>
      <x:c r="H73" s="6" t="str">
        <x:v>parsed</x:v>
      </x:c>
      <x:c r="I73" s="6" t="str">
        <x:v>deterministic regex over official HTML text</x:v>
      </x:c>
    </x:row>
    <x:row r="74" ht="26" customHeight="1">
      <x:c r="A74" s="14" t="n">
        <x:v>2024</x:v>
      </x:c>
      <x:c r="B74" s="6" t="str">
        <x:v>capture_production</x:v>
      </x:c>
      <x:c r="C74" s="18" t="n">
        <x:v>12975600</x:v>
      </x:c>
      <x:c r="D74" s="6" t="str">
        <x:v>tonnes</x:v>
      </x:c>
      <x:c r="E74" s="6" t="str">
        <x:v>Ministry of Agriculture and Rural Affairs of the PRC</x:v>
      </x:c>
      <x:c r="F74" s="6" t="str">
        <x:v>https://yyj.moa.gov.cn/gzdt/202507/t20250707_6475475.htm</x:v>
      </x:c>
      <x:c r="G74" s="6" t="str">
        <x:v>2026-07-23</x:v>
      </x:c>
      <x:c r="H74" s="6" t="str">
        <x:v>parsed</x:v>
      </x:c>
      <x:c r="I74" s="6" t="str">
        <x:v>deterministic regex over official HTML text</x:v>
      </x:c>
    </x:row>
    <x:row r="75" ht="26" customHeight="1">
      <x:c r="A75" s="14" t="n">
        <x:v>2024</x:v>
      </x:c>
      <x:c r="B75" s="6" t="str">
        <x:v>cold_storage_units</x:v>
      </x:c>
      <x:c r="C75" s="18" t="n">
        <x:v>9737</x:v>
      </x:c>
      <x:c r="D75" s="6" t="str">
        <x:v>count</x:v>
      </x:c>
      <x:c r="E75" s="6" t="str">
        <x:v>Ministry of Agriculture and Rural Affairs of the PRC</x:v>
      </x:c>
      <x:c r="F75" s="6" t="str">
        <x:v>https://yyj.moa.gov.cn/gzdt/202507/t20250707_6475475.htm</x:v>
      </x:c>
      <x:c r="G75" s="6" t="str">
        <x:v>2026-07-23</x:v>
      </x:c>
      <x:c r="H75" s="6" t="str">
        <x:v>parsed</x:v>
      </x:c>
      <x:c r="I75" s="6" t="str">
        <x:v>deterministic regex over official HTML text</x:v>
      </x:c>
    </x:row>
    <x:row r="76" ht="26" customHeight="1">
      <x:c r="A76" s="14" t="n">
        <x:v>2024</x:v>
      </x:c>
      <x:c r="B76" s="6" t="str">
        <x:v>distant_water_capture</x:v>
      </x:c>
      <x:c r="C76" s="18" t="n">
        <x:v>2189100</x:v>
      </x:c>
      <x:c r="D76" s="6" t="str">
        <x:v>tonnes</x:v>
      </x:c>
      <x:c r="E76" s="6" t="str">
        <x:v>Ministry of Agriculture and Rural Affairs of the PRC</x:v>
      </x:c>
      <x:c r="F76" s="6" t="str">
        <x:v>https://yyj.moa.gov.cn/gzdt/202507/t20250707_6475475.htm</x:v>
      </x:c>
      <x:c r="G76" s="6" t="str">
        <x:v>2026-07-23</x:v>
      </x:c>
      <x:c r="H76" s="6" t="str">
        <x:v>parsed</x:v>
      </x:c>
      <x:c r="I76" s="6" t="str">
        <x:v>deterministic regex over official HTML text</x:v>
      </x:c>
    </x:row>
    <x:row r="77" ht="26" customHeight="1">
      <x:c r="A77" s="14" t="n">
        <x:v>2024</x:v>
      </x:c>
      <x:c r="B77" s="6" t="str">
        <x:v>fisher_per_capita_net_income</x:v>
      </x:c>
      <x:c r="C77" s="18" t="n">
        <x:v>27131</x:v>
      </x:c>
      <x:c r="D77" s="6" t="str">
        <x:v>RMB/year</x:v>
      </x:c>
      <x:c r="E77" s="6" t="str">
        <x:v>Ministry of Agriculture and Rural Affairs of the PRC</x:v>
      </x:c>
      <x:c r="F77" s="6" t="str">
        <x:v>https://yyj.moa.gov.cn/gzdt/202507/t20250707_6475475.htm</x:v>
      </x:c>
      <x:c r="G77" s="6" t="str">
        <x:v>2026-07-23</x:v>
      </x:c>
      <x:c r="H77" s="6" t="str">
        <x:v>parsed</x:v>
      </x:c>
      <x:c r="I77" s="6" t="str">
        <x:v>deterministic regex over official HTML text</x:v>
      </x:c>
    </x:row>
    <x:row r="78" ht="26" customHeight="1">
      <x:c r="A78" s="14" t="n">
        <x:v>2024</x:v>
      </x:c>
      <x:c r="B78" s="6" t="str">
        <x:v>motorized_fleet_power</x:v>
      </x:c>
      <x:c r="C78" s="18" t="n">
        <x:v>20044500</x:v>
      </x:c>
      <x:c r="D78" s="6" t="str">
        <x:v>kW</x:v>
      </x:c>
      <x:c r="E78" s="6" t="str">
        <x:v>Ministry of Agriculture and Rural Affairs of the PRC</x:v>
      </x:c>
      <x:c r="F78" s="6" t="str">
        <x:v>https://yyj.moa.gov.cn/gzdt/202507/t20250707_6475475.htm</x:v>
      </x:c>
      <x:c r="G78" s="6" t="str">
        <x:v>2026-07-23</x:v>
      </x:c>
      <x:c r="H78" s="6" t="str">
        <x:v>parsed</x:v>
      </x:c>
      <x:c r="I78" s="6" t="str">
        <x:v>deterministic regex over official HTML text</x:v>
      </x:c>
    </x:row>
    <x:row r="79" ht="26" customHeight="1">
      <x:c r="A79" s="14" t="n">
        <x:v>2024</x:v>
      </x:c>
      <x:c r="B79" s="6" t="str">
        <x:v>processing_enterprises</x:v>
      </x:c>
      <x:c r="C79" s="18" t="n">
        <x:v>9581</x:v>
      </x:c>
      <x:c r="D79" s="6" t="str">
        <x:v>count</x:v>
      </x:c>
      <x:c r="E79" s="6" t="str">
        <x:v>Ministry of Agriculture and Rural Affairs of the PRC</x:v>
      </x:c>
      <x:c r="F79" s="6" t="str">
        <x:v>https://yyj.moa.gov.cn/gzdt/202507/t20250707_6475475.htm</x:v>
      </x:c>
      <x:c r="G79" s="6" t="str">
        <x:v>2026-07-23</x:v>
      </x:c>
      <x:c r="H79" s="6" t="str">
        <x:v>parsed</x:v>
      </x:c>
      <x:c r="I79" s="6" t="str">
        <x:v>deterministic regex over official HTML text</x:v>
      </x:c>
    </x:row>
    <x:row r="80" ht="26" customHeight="1">
      <x:c r="A80" s="14" t="n">
        <x:v>2024</x:v>
      </x:c>
      <x:c r="B80" s="6" t="str">
        <x:v>total_aquatic_products</x:v>
      </x:c>
      <x:c r="C80" s="18" t="n">
        <x:v>73575900</x:v>
      </x:c>
      <x:c r="D80" s="6" t="str">
        <x:v>tonnes</x:v>
      </x:c>
      <x:c r="E80" s="6" t="str">
        <x:v>Ministry of Agriculture and Rural Affairs of the PRC</x:v>
      </x:c>
      <x:c r="F80" s="6" t="str">
        <x:v>https://yyj.moa.gov.cn/gzdt/202507/t20250707_6475475.htm</x:v>
      </x:c>
      <x:c r="G80" s="6" t="str">
        <x:v>2026-07-23</x:v>
      </x:c>
      <x:c r="H80" s="6" t="str">
        <x:v>parsed</x:v>
      </x:c>
      <x:c r="I80" s="6" t="str">
        <x:v>deterministic regex over official HTML text</x:v>
      </x:c>
    </x:row>
    <x:row r="81" ht="26" customHeight="1">
      <x:c r="A81" s="14" t="n">
        <x:v>2024</x:v>
      </x:c>
      <x:c r="B81" s="6" t="str">
        <x:v>total_economic_output</x:v>
      </x:c>
      <x:c r="C81" s="18" t="n">
        <x:v>34172.29</x:v>
      </x:c>
      <x:c r="D81" s="6" t="str">
        <x:v>100 million RMB</x:v>
      </x:c>
      <x:c r="E81" s="6" t="str">
        <x:v>Ministry of Agriculture and Rural Affairs of the PRC</x:v>
      </x:c>
      <x:c r="F81" s="6" t="str">
        <x:v>https://yyj.moa.gov.cn/gzdt/202507/t20250707_6475475.htm</x:v>
      </x:c>
      <x:c r="G81" s="6" t="str">
        <x:v>2026-07-23</x:v>
      </x:c>
      <x:c r="H81" s="6" t="str">
        <x:v>parsed</x:v>
      </x:c>
      <x:c r="I81" s="6" t="str">
        <x:v>deterministic regex over official HTML text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  <x:col min="13" max="13" width="42" hidden="0" customWidth="1"/>
    <x:col min="14" max="14" width="62" hidden="0" customWidth="1"/>
    <x:col min="15" max="15" width="66" hidden="0" customWidth="1"/>
    <x:col min="16" max="16" width="14" hidden="0" customWidth="1"/>
    <x:col min="17" max="17" width="30" hidden="0" customWidth="1"/>
    <x:col min="18" max="18" width="46" hidden="0" customWidth="1"/>
  </x:cols>
  <x:sheetData>
    <x:row r="1" ht="34" customHeight="1">
      <x:c r="A1" s="12" t="str">
        <x:v>year</x:v>
      </x:c>
      <x:c r="B1" s="12" t="str">
        <x:v>section</x:v>
      </x:c>
      <x:c r="C1" s="12" t="str">
        <x:v>indicator</x:v>
      </x:c>
      <x:c r="D1" s="12" t="str">
        <x:v>indicator_zh</x:v>
      </x:c>
      <x:c r="E1" s="12" t="str">
        <x:v>category</x:v>
      </x:c>
      <x:c r="F1" s="12" t="str">
        <x:v>reported_value</x:v>
      </x:c>
      <x:c r="G1" s="12" t="str">
        <x:v>reported_unit</x:v>
      </x:c>
      <x:c r="H1" s="12" t="str">
        <x:v>normalization_multiplier</x:v>
      </x:c>
      <x:c r="I1" s="12" t="str">
        <x:v>value</x:v>
      </x:c>
      <x:c r="J1" s="12" t="str">
        <x:v>unit</x:v>
      </x:c>
      <x:c r="K1" s="12" t="str">
        <x:v>yoy_pct</x:v>
      </x:c>
      <x:c r="L1" s="12" t="str">
        <x:v>share_pct</x:v>
      </x:c>
      <x:c r="M1" s="12" t="str">
        <x:v>source_organization</x:v>
      </x:c>
      <x:c r="N1" s="12" t="str">
        <x:v>source_url</x:v>
      </x:c>
      <x:c r="O1" s="12" t="str">
        <x:v>source_sha256</x:v>
      </x:c>
      <x:c r="P1" s="12" t="str">
        <x:v>retrieved_on</x:v>
      </x:c>
      <x:c r="Q1" s="12" t="str">
        <x:v>data_label</x:v>
      </x:c>
      <x:c r="R1" s="12" t="str">
        <x:v>extraction_method</x:v>
      </x:c>
    </x:row>
    <x:row r="2" ht="26" customHeight="1">
      <x:c r="A2" s="6" t="n">
        <x:v>2024</x:v>
      </x:c>
      <x:c r="B2" s="6" t="str">
        <x:v>aquaculture_area</x:v>
      </x:c>
      <x:c r="C2" s="6" t="str">
        <x:v>aquaculture_area</x:v>
      </x:c>
      <x:c r="D2" s="6" t="str">
        <x:v>水产养殖面积</x:v>
      </x:c>
      <x:c r="E2" s="6" t="str">
        <x:v>freshwater</x:v>
      </x:c>
      <x:c r="F2" s="18" t="n">
        <x:v>5327.82</x:v>
      </x:c>
      <x:c r="G2" s="18" t="str">
        <x:v>千公顷</x:v>
      </x:c>
      <x:c r="H2" s="18" t="n">
        <x:v>1000</x:v>
      </x:c>
      <x:c r="I2" s="18" t="n">
        <x:v>5327820</x:v>
      </x:c>
      <x:c r="J2" s="18" t="str">
        <x:v>hectares</x:v>
      </x:c>
      <x:c r="K2" s="18" t="n">
        <x:v>-1.51</x:v>
      </x:c>
      <x:c r="L2" s="18"/>
      <x:c r="M2" s="6" t="str">
        <x:v>Ministry of Agriculture and Rural Affairs of the PRC</x:v>
      </x:c>
      <x:c r="N2" s="6" t="str">
        <x:v>https://yyj.moa.gov.cn/gzdt/202507/t20250707_6475475.htm</x:v>
      </x:c>
      <x:c r="O2" s="6" t="str">
        <x:v>a4ad7bbeb571678b5ddc776c9e08013b1e7f921a286da1908273de51b723022b</x:v>
      </x:c>
      <x:c r="P2" s="6" t="str">
        <x:v>2026-07-23</x:v>
      </x:c>
      <x:c r="Q2" s="6" t="str">
        <x:v>经过处理的数据（公开来源）</x:v>
      </x:c>
      <x:c r="R2" s="6" t="str">
        <x:v>deterministic regex over official HTML text</x:v>
      </x:c>
    </x:row>
    <x:row r="3" ht="26" customHeight="1">
      <x:c r="A3" s="6" t="n">
        <x:v>2024</x:v>
      </x:c>
      <x:c r="B3" s="6" t="str">
        <x:v>aquaculture_area</x:v>
      </x:c>
      <x:c r="C3" s="6" t="str">
        <x:v>aquaculture_area</x:v>
      </x:c>
      <x:c r="D3" s="6" t="str">
        <x:v>水产养殖面积</x:v>
      </x:c>
      <x:c r="E3" s="6" t="str">
        <x:v>marine</x:v>
      </x:c>
      <x:c r="F3" s="18" t="n">
        <x:v>2240.06</x:v>
      </x:c>
      <x:c r="G3" s="18" t="str">
        <x:v>千公顷</x:v>
      </x:c>
      <x:c r="H3" s="18" t="n">
        <x:v>1000</x:v>
      </x:c>
      <x:c r="I3" s="18" t="n">
        <x:v>2240060</x:v>
      </x:c>
      <x:c r="J3" s="18" t="str">
        <x:v>hectares</x:v>
      </x:c>
      <x:c r="K3" s="18" t="n">
        <x:v>1.14</x:v>
      </x:c>
      <x:c r="L3" s="18"/>
      <x:c r="M3" s="6" t="str">
        <x:v>Ministry of Agriculture and Rural Affairs of the PRC</x:v>
      </x:c>
      <x:c r="N3" s="6" t="str">
        <x:v>https://yyj.moa.gov.cn/gzdt/202507/t20250707_6475475.htm</x:v>
      </x:c>
      <x:c r="O3" s="6" t="str">
        <x:v>a4ad7bbeb571678b5ddc776c9e08013b1e7f921a286da1908273de51b723022b</x:v>
      </x:c>
      <x:c r="P3" s="6" t="str">
        <x:v>2026-07-23</x:v>
      </x:c>
      <x:c r="Q3" s="6" t="str">
        <x:v>经过处理的数据（公开来源）</x:v>
      </x:c>
      <x:c r="R3" s="6" t="str">
        <x:v>deterministic regex over official HTML text</x:v>
      </x:c>
    </x:row>
    <x:row r="4" ht="26" customHeight="1">
      <x:c r="A4" s="6" t="n">
        <x:v>2024</x:v>
      </x:c>
      <x:c r="B4" s="6" t="str">
        <x:v>aquaculture_area</x:v>
      </x:c>
      <x:c r="C4" s="6" t="str">
        <x:v>aquaculture_area</x:v>
      </x:c>
      <x:c r="D4" s="6" t="str">
        <x:v>水产养殖面积</x:v>
      </x:c>
      <x:c r="E4" s="6" t="str">
        <x:v>total</x:v>
      </x:c>
      <x:c r="F4" s="18" t="n">
        <x:v>7567.88</x:v>
      </x:c>
      <x:c r="G4" s="18" t="str">
        <x:v>千公顷</x:v>
      </x:c>
      <x:c r="H4" s="18" t="n">
        <x:v>1000</x:v>
      </x:c>
      <x:c r="I4" s="18" t="n">
        <x:v>7567880</x:v>
      </x:c>
      <x:c r="J4" s="18" t="str">
        <x:v>hectares</x:v>
      </x:c>
      <x:c r="K4" s="18" t="n">
        <x:v>-0.74</x:v>
      </x:c>
      <x:c r="L4" s="18"/>
      <x:c r="M4" s="6" t="str">
        <x:v>Ministry of Agriculture and Rural Affairs of the PRC</x:v>
      </x:c>
      <x:c r="N4" s="6" t="str">
        <x:v>https://yyj.moa.gov.cn/gzdt/202507/t20250707_6475475.htm</x:v>
      </x:c>
      <x:c r="O4" s="6" t="str">
        <x:v>a4ad7bbeb571678b5ddc776c9e08013b1e7f921a286da1908273de51b723022b</x:v>
      </x:c>
      <x:c r="P4" s="6" t="str">
        <x:v>2026-07-23</x:v>
      </x:c>
      <x:c r="Q4" s="6" t="str">
        <x:v>经过处理的数据（公开来源）</x:v>
      </x:c>
      <x:c r="R4" s="6" t="str">
        <x:v>deterministic regex over official HTML text</x:v>
      </x:c>
    </x:row>
    <x:row r="5" ht="26" customHeight="1">
      <x:c r="A5" s="6" t="n">
        <x:v>2024</x:v>
      </x:c>
      <x:c r="B5" s="6" t="str">
        <x:v>aquaculture_area_by_type</x:v>
      </x:c>
      <x:c r="C5" s="6" t="str">
        <x:v>freshwater_aquaculture_area_lakes</x:v>
      </x:c>
      <x:c r="D5" s="6" t="str">
        <x:v>淡水湖泊养殖面积</x:v>
      </x:c>
      <x:c r="E5" s="6" t="str">
        <x:v>freshwater</x:v>
      </x:c>
      <x:c r="F5" s="18" t="n">
        <x:v>807.77</x:v>
      </x:c>
      <x:c r="G5" s="18" t="str">
        <x:v>千公顷</x:v>
      </x:c>
      <x:c r="H5" s="18" t="n">
        <x:v>1000</x:v>
      </x:c>
      <x:c r="I5" s="18" t="n">
        <x:v>807770</x:v>
      </x:c>
      <x:c r="J5" s="18" t="str">
        <x:v>hectares</x:v>
      </x:c>
      <x:c r="K5" s="18" t="n">
        <x:v>-2.6</x:v>
      </x:c>
      <x:c r="L5" s="18" t="n">
        <x:v>15.16</x:v>
      </x:c>
      <x:c r="M5" s="6" t="str">
        <x:v>Ministry of Agriculture and Rural Affairs of the PRC</x:v>
      </x:c>
      <x:c r="N5" s="6" t="str">
        <x:v>https://yyj.moa.gov.cn/gzdt/202507/t20250707_6475475.htm</x:v>
      </x:c>
      <x:c r="O5" s="6" t="str">
        <x:v>a4ad7bbeb571678b5ddc776c9e08013b1e7f921a286da1908273de51b723022b</x:v>
      </x:c>
      <x:c r="P5" s="6" t="str">
        <x:v>2026-07-23</x:v>
      </x:c>
      <x:c r="Q5" s="6" t="str">
        <x:v>经过处理的数据（公开来源）</x:v>
      </x:c>
      <x:c r="R5" s="6" t="str">
        <x:v>deterministic table-row regex over official HTML text</x:v>
      </x:c>
    </x:row>
    <x:row r="6" ht="26" customHeight="1">
      <x:c r="A6" s="6" t="n">
        <x:v>2024</x:v>
      </x:c>
      <x:c r="B6" s="6" t="str">
        <x:v>aquaculture_area_by_type</x:v>
      </x:c>
      <x:c r="C6" s="6" t="str">
        <x:v>freshwater_aquaculture_area_other</x:v>
      </x:c>
      <x:c r="D6" s="6" t="str">
        <x:v>淡水其他养殖面积</x:v>
      </x:c>
      <x:c r="E6" s="6" t="str">
        <x:v>freshwater</x:v>
      </x:c>
      <x:c r="F6" s="18" t="n">
        <x:v>140.38</x:v>
      </x:c>
      <x:c r="G6" s="18" t="str">
        <x:v>千公顷</x:v>
      </x:c>
      <x:c r="H6" s="18" t="n">
        <x:v>1000</x:v>
      </x:c>
      <x:c r="I6" s="18" t="n">
        <x:v>140380</x:v>
      </x:c>
      <x:c r="J6" s="18" t="str">
        <x:v>hectares</x:v>
      </x:c>
      <x:c r="K6" s="18" t="n">
        <x:v>-7.17</x:v>
      </x:c>
      <x:c r="L6" s="18" t="n">
        <x:v>2.63</x:v>
      </x:c>
      <x:c r="M6" s="6" t="str">
        <x:v>Ministry of Agriculture and Rural Affairs of the PRC</x:v>
      </x:c>
      <x:c r="N6" s="6" t="str">
        <x:v>https://yyj.moa.gov.cn/gzdt/202507/t20250707_6475475.htm</x:v>
      </x:c>
      <x:c r="O6" s="6" t="str">
        <x:v>a4ad7bbeb571678b5ddc776c9e08013b1e7f921a286da1908273de51b723022b</x:v>
      </x:c>
      <x:c r="P6" s="6" t="str">
        <x:v>2026-07-23</x:v>
      </x:c>
      <x:c r="Q6" s="6" t="str">
        <x:v>经过处理的数据（公开来源）</x:v>
      </x:c>
      <x:c r="R6" s="6" t="str">
        <x:v>deterministic table-row regex over official HTML text</x:v>
      </x:c>
    </x:row>
    <x:row r="7" ht="26" customHeight="1">
      <x:c r="A7" s="6" t="n">
        <x:v>2024</x:v>
      </x:c>
      <x:c r="B7" s="6" t="str">
        <x:v>aquaculture_area_by_type</x:v>
      </x:c>
      <x:c r="C7" s="6" t="str">
        <x:v>freshwater_aquaculture_area_ponds</x:v>
      </x:c>
      <x:c r="D7" s="6" t="str">
        <x:v>淡水池塘养殖面积</x:v>
      </x:c>
      <x:c r="E7" s="6" t="str">
        <x:v>freshwater</x:v>
      </x:c>
      <x:c r="F7" s="18" t="n">
        <x:v>2624.59</x:v>
      </x:c>
      <x:c r="G7" s="18" t="str">
        <x:v>千公顷</x:v>
      </x:c>
      <x:c r="H7" s="18" t="n">
        <x:v>1000</x:v>
      </x:c>
      <x:c r="I7" s="18" t="n">
        <x:v>2624590</x:v>
      </x:c>
      <x:c r="J7" s="18" t="str">
        <x:v>hectares</x:v>
      </x:c>
      <x:c r="K7" s="18" t="n">
        <x:v>-0.15</x:v>
      </x:c>
      <x:c r="L7" s="18" t="n">
        <x:v>49.26</x:v>
      </x:c>
      <x:c r="M7" s="6" t="str">
        <x:v>Ministry of Agriculture and Rural Affairs of the PRC</x:v>
      </x:c>
      <x:c r="N7" s="6" t="str">
        <x:v>https://yyj.moa.gov.cn/gzdt/202507/t20250707_6475475.htm</x:v>
      </x:c>
      <x:c r="O7" s="6" t="str">
        <x:v>a4ad7bbeb571678b5ddc776c9e08013b1e7f921a286da1908273de51b723022b</x:v>
      </x:c>
      <x:c r="P7" s="6" t="str">
        <x:v>2026-07-23</x:v>
      </x:c>
      <x:c r="Q7" s="6" t="str">
        <x:v>经过处理的数据（公开来源）</x:v>
      </x:c>
      <x:c r="R7" s="6" t="str">
        <x:v>deterministic table-row regex over official HTML text</x:v>
      </x:c>
    </x:row>
    <x:row r="8" ht="26" customHeight="1">
      <x:c r="A8" s="6" t="n">
        <x:v>2024</x:v>
      </x:c>
      <x:c r="B8" s="6" t="str">
        <x:v>aquaculture_area_by_type</x:v>
      </x:c>
      <x:c r="C8" s="6" t="str">
        <x:v>freshwater_aquaculture_area_reservoirs</x:v>
      </x:c>
      <x:c r="D8" s="6" t="str">
        <x:v>淡水水库养殖面积</x:v>
      </x:c>
      <x:c r="E8" s="6" t="str">
        <x:v>freshwater</x:v>
      </x:c>
      <x:c r="F8" s="18" t="n">
        <x:v>1605.62</x:v>
      </x:c>
      <x:c r="G8" s="18" t="str">
        <x:v>千公顷</x:v>
      </x:c>
      <x:c r="H8" s="18" t="n">
        <x:v>1000</x:v>
      </x:c>
      <x:c r="I8" s="18" t="n">
        <x:v>1605620</x:v>
      </x:c>
      <x:c r="J8" s="18" t="str">
        <x:v>hectares</x:v>
      </x:c>
      <x:c r="K8" s="18" t="n">
        <x:v>-2.92</x:v>
      </x:c>
      <x:c r="L8" s="18" t="n">
        <x:v>30.14</x:v>
      </x:c>
      <x:c r="M8" s="6" t="str">
        <x:v>Ministry of Agriculture and Rural Affairs of the PRC</x:v>
      </x:c>
      <x:c r="N8" s="6" t="str">
        <x:v>https://yyj.moa.gov.cn/gzdt/202507/t20250707_6475475.htm</x:v>
      </x:c>
      <x:c r="O8" s="6" t="str">
        <x:v>a4ad7bbeb571678b5ddc776c9e08013b1e7f921a286da1908273de51b723022b</x:v>
      </x:c>
      <x:c r="P8" s="6" t="str">
        <x:v>2026-07-23</x:v>
      </x:c>
      <x:c r="Q8" s="6" t="str">
        <x:v>经过处理的数据（公开来源）</x:v>
      </x:c>
      <x:c r="R8" s="6" t="str">
        <x:v>deterministic table-row regex over official HTML text</x:v>
      </x:c>
    </x:row>
    <x:row r="9" ht="26" customHeight="1">
      <x:c r="A9" s="6" t="n">
        <x:v>2024</x:v>
      </x:c>
      <x:c r="B9" s="6" t="str">
        <x:v>aquaculture_area_by_type</x:v>
      </x:c>
      <x:c r="C9" s="6" t="str">
        <x:v>freshwater_aquaculture_area_rivers_ditches</x:v>
      </x:c>
      <x:c r="D9" s="6" t="str">
        <x:v>淡水河沟养殖面积</x:v>
      </x:c>
      <x:c r="E9" s="6" t="str">
        <x:v>freshwater</x:v>
      </x:c>
      <x:c r="F9" s="18" t="n">
        <x:v>149.47</x:v>
      </x:c>
      <x:c r="G9" s="18" t="str">
        <x:v>千公顷</x:v>
      </x:c>
      <x:c r="H9" s="18" t="n">
        <x:v>1000</x:v>
      </x:c>
      <x:c r="I9" s="18" t="n">
        <x:v>149470</x:v>
      </x:c>
      <x:c r="J9" s="18" t="str">
        <x:v>hectares</x:v>
      </x:c>
      <x:c r="K9" s="18" t="n">
        <x:v>1.97</x:v>
      </x:c>
      <x:c r="L9" s="18" t="n">
        <x:v>2.81</x:v>
      </x:c>
      <x:c r="M9" s="6" t="str">
        <x:v>Ministry of Agriculture and Rural Affairs of the PRC</x:v>
      </x:c>
      <x:c r="N9" s="6" t="str">
        <x:v>https://yyj.moa.gov.cn/gzdt/202507/t20250707_6475475.htm</x:v>
      </x:c>
      <x:c r="O9" s="6" t="str">
        <x:v>a4ad7bbeb571678b5ddc776c9e08013b1e7f921a286da1908273de51b723022b</x:v>
      </x:c>
      <x:c r="P9" s="6" t="str">
        <x:v>2026-07-23</x:v>
      </x:c>
      <x:c r="Q9" s="6" t="str">
        <x:v>经过处理的数据（公开来源）</x:v>
      </x:c>
      <x:c r="R9" s="6" t="str">
        <x:v>deterministic table-row regex over official HTML text</x:v>
      </x:c>
    </x:row>
    <x:row r="10" ht="26" customHeight="1">
      <x:c r="A10" s="6" t="n">
        <x:v>2024</x:v>
      </x:c>
      <x:c r="B10" s="6" t="str">
        <x:v>aquaculture_area_by_type</x:v>
      </x:c>
      <x:c r="C10" s="6" t="str">
        <x:v>marine_aquaculture_area_algae</x:v>
      </x:c>
      <x:c r="D10" s="6" t="str">
        <x:v>海水藻类养殖面积</x:v>
      </x:c>
      <x:c r="E10" s="6" t="str">
        <x:v>marine</x:v>
      </x:c>
      <x:c r="F10" s="18" t="n">
        <x:v>150.46</x:v>
      </x:c>
      <x:c r="G10" s="18" t="str">
        <x:v>千公顷</x:v>
      </x:c>
      <x:c r="H10" s="18" t="n">
        <x:v>1000</x:v>
      </x:c>
      <x:c r="I10" s="18" t="n">
        <x:v>150460</x:v>
      </x:c>
      <x:c r="J10" s="18" t="str">
        <x:v>hectares</x:v>
      </x:c>
      <x:c r="K10" s="18" t="n">
        <x:v>0.6</x:v>
      </x:c>
      <x:c r="L10" s="18" t="n">
        <x:v>6.72</x:v>
      </x:c>
      <x:c r="M10" s="6" t="str">
        <x:v>Ministry of Agriculture and Rural Affairs of the PRC</x:v>
      </x:c>
      <x:c r="N10" s="6" t="str">
        <x:v>https://yyj.moa.gov.cn/gzdt/202507/t20250707_6475475.htm</x:v>
      </x:c>
      <x:c r="O10" s="6" t="str">
        <x:v>a4ad7bbeb571678b5ddc776c9e08013b1e7f921a286da1908273de51b723022b</x:v>
      </x:c>
      <x:c r="P10" s="6" t="str">
        <x:v>2026-07-23</x:v>
      </x:c>
      <x:c r="Q10" s="6" t="str">
        <x:v>经过处理的数据（公开来源）</x:v>
      </x:c>
      <x:c r="R10" s="6" t="str">
        <x:v>deterministic table-row regex over official HTML text</x:v>
      </x:c>
    </x:row>
    <x:row r="11" ht="26" customHeight="1">
      <x:c r="A11" s="6" t="n">
        <x:v>2024</x:v>
      </x:c>
      <x:c r="B11" s="6" t="str">
        <x:v>aquaculture_area_by_type</x:v>
      </x:c>
      <x:c r="C11" s="6" t="str">
        <x:v>marine_aquaculture_area_crustaceans</x:v>
      </x:c>
      <x:c r="D11" s="6" t="str">
        <x:v>海水甲壳类养殖面积</x:v>
      </x:c>
      <x:c r="E11" s="6" t="str">
        <x:v>marine</x:v>
      </x:c>
      <x:c r="F11" s="18" t="n">
        <x:v>294.9</x:v>
      </x:c>
      <x:c r="G11" s="18" t="str">
        <x:v>千公顷</x:v>
      </x:c>
      <x:c r="H11" s="18" t="n">
        <x:v>1000</x:v>
      </x:c>
      <x:c r="I11" s="18" t="n">
        <x:v>294900</x:v>
      </x:c>
      <x:c r="J11" s="18" t="str">
        <x:v>hectares</x:v>
      </x:c>
      <x:c r="K11" s="18" t="n">
        <x:v>-0.7</x:v>
      </x:c>
      <x:c r="L11" s="18" t="n">
        <x:v>13.17</x:v>
      </x:c>
      <x:c r="M11" s="6" t="str">
        <x:v>Ministry of Agriculture and Rural Affairs of the PRC</x:v>
      </x:c>
      <x:c r="N11" s="6" t="str">
        <x:v>https://yyj.moa.gov.cn/gzdt/202507/t20250707_6475475.htm</x:v>
      </x:c>
      <x:c r="O11" s="6" t="str">
        <x:v>a4ad7bbeb571678b5ddc776c9e08013b1e7f921a286da1908273de51b723022b</x:v>
      </x:c>
      <x:c r="P11" s="6" t="str">
        <x:v>2026-07-23</x:v>
      </x:c>
      <x:c r="Q11" s="6" t="str">
        <x:v>经过处理的数据（公开来源）</x:v>
      </x:c>
      <x:c r="R11" s="6" t="str">
        <x:v>deterministic table-row regex over official HTML text</x:v>
      </x:c>
    </x:row>
    <x:row r="12" ht="26" customHeight="1">
      <x:c r="A12" s="6" t="n">
        <x:v>2024</x:v>
      </x:c>
      <x:c r="B12" s="6" t="str">
        <x:v>aquaculture_area_by_type</x:v>
      </x:c>
      <x:c r="C12" s="6" t="str">
        <x:v>marine_aquaculture_area_fish</x:v>
      </x:c>
      <x:c r="D12" s="6" t="str">
        <x:v>海水鱼类养殖面积</x:v>
      </x:c>
      <x:c r="E12" s="6" t="str">
        <x:v>marine</x:v>
      </x:c>
      <x:c r="F12" s="18" t="n">
        <x:v>79.66</x:v>
      </x:c>
      <x:c r="G12" s="18" t="str">
        <x:v>千公顷</x:v>
      </x:c>
      <x:c r="H12" s="18" t="n">
        <x:v>1000</x:v>
      </x:c>
      <x:c r="I12" s="18" t="n">
        <x:v>79660</x:v>
      </x:c>
      <x:c r="J12" s="18" t="str">
        <x:v>hectares</x:v>
      </x:c>
      <x:c r="K12" s="18" t="n">
        <x:v>4.45</x:v>
      </x:c>
      <x:c r="L12" s="18" t="n">
        <x:v>3.56</x:v>
      </x:c>
      <x:c r="M12" s="6" t="str">
        <x:v>Ministry of Agriculture and Rural Affairs of the PRC</x:v>
      </x:c>
      <x:c r="N12" s="6" t="str">
        <x:v>https://yyj.moa.gov.cn/gzdt/202507/t20250707_6475475.htm</x:v>
      </x:c>
      <x:c r="O12" s="6" t="str">
        <x:v>a4ad7bbeb571678b5ddc776c9e08013b1e7f921a286da1908273de51b723022b</x:v>
      </x:c>
      <x:c r="P12" s="6" t="str">
        <x:v>2026-07-23</x:v>
      </x:c>
      <x:c r="Q12" s="6" t="str">
        <x:v>经过处理的数据（公开来源）</x:v>
      </x:c>
      <x:c r="R12" s="6" t="str">
        <x:v>deterministic table-row regex over official HTML text</x:v>
      </x:c>
    </x:row>
    <x:row r="13" ht="26" customHeight="1">
      <x:c r="A13" s="6" t="n">
        <x:v>2024</x:v>
      </x:c>
      <x:c r="B13" s="6" t="str">
        <x:v>aquaculture_area_by_type</x:v>
      </x:c>
      <x:c r="C13" s="6" t="str">
        <x:v>marine_aquaculture_area_other</x:v>
      </x:c>
      <x:c r="D13" s="6" t="str">
        <x:v>海水其他类养殖面积</x:v>
      </x:c>
      <x:c r="E13" s="6" t="str">
        <x:v>marine</x:v>
      </x:c>
      <x:c r="F13" s="18" t="n">
        <x:v>316.71</x:v>
      </x:c>
      <x:c r="G13" s="18" t="str">
        <x:v>千公顷</x:v>
      </x:c>
      <x:c r="H13" s="18" t="n">
        <x:v>1000</x:v>
      </x:c>
      <x:c r="I13" s="18" t="n">
        <x:v>316710</x:v>
      </x:c>
      <x:c r="J13" s="18" t="str">
        <x:v>hectares</x:v>
      </x:c>
      <x:c r="K13" s="18" t="n">
        <x:v>-5.32</x:v>
      </x:c>
      <x:c r="L13" s="18" t="n">
        <x:v>14.14</x:v>
      </x:c>
      <x:c r="M13" s="6" t="str">
        <x:v>Ministry of Agriculture and Rural Affairs of the PRC</x:v>
      </x:c>
      <x:c r="N13" s="6" t="str">
        <x:v>https://yyj.moa.gov.cn/gzdt/202507/t20250707_6475475.htm</x:v>
      </x:c>
      <x:c r="O13" s="6" t="str">
        <x:v>a4ad7bbeb571678b5ddc776c9e08013b1e7f921a286da1908273de51b723022b</x:v>
      </x:c>
      <x:c r="P13" s="6" t="str">
        <x:v>2026-07-23</x:v>
      </x:c>
      <x:c r="Q13" s="6" t="str">
        <x:v>经过处理的数据（公开来源）</x:v>
      </x:c>
      <x:c r="R13" s="6" t="str">
        <x:v>deterministic table-row regex over official HTML text</x:v>
      </x:c>
    </x:row>
    <x:row r="14" ht="26" customHeight="1">
      <x:c r="A14" s="6" t="n">
        <x:v>2024</x:v>
      </x:c>
      <x:c r="B14" s="6" t="str">
        <x:v>aquaculture_area_by_type</x:v>
      </x:c>
      <x:c r="C14" s="6" t="str">
        <x:v>marine_aquaculture_area_shellfish</x:v>
      </x:c>
      <x:c r="D14" s="6" t="str">
        <x:v>海水贝类养殖面积</x:v>
      </x:c>
      <x:c r="E14" s="6" t="str">
        <x:v>marine</x:v>
      </x:c>
      <x:c r="F14" s="18" t="n">
        <x:v>1398.33</x:v>
      </x:c>
      <x:c r="G14" s="18" t="str">
        <x:v>千公顷</x:v>
      </x:c>
      <x:c r="H14" s="18" t="n">
        <x:v>1000</x:v>
      </x:c>
      <x:c r="I14" s="18" t="n">
        <x:v>1398330</x:v>
      </x:c>
      <x:c r="J14" s="18" t="str">
        <x:v>hectares</x:v>
      </x:c>
      <x:c r="K14" s="18" t="n">
        <x:v>3.01</x:v>
      </x:c>
      <x:c r="L14" s="18" t="n">
        <x:v>62.42</x:v>
      </x:c>
      <x:c r="M14" s="6" t="str">
        <x:v>Ministry of Agriculture and Rural Affairs of the PRC</x:v>
      </x:c>
      <x:c r="N14" s="6" t="str">
        <x:v>https://yyj.moa.gov.cn/gzdt/202507/t20250707_6475475.htm</x:v>
      </x:c>
      <x:c r="O14" s="6" t="str">
        <x:v>a4ad7bbeb571678b5ddc776c9e08013b1e7f921a286da1908273de51b723022b</x:v>
      </x:c>
      <x:c r="P14" s="6" t="str">
        <x:v>2026-07-23</x:v>
      </x:c>
      <x:c r="Q14" s="6" t="str">
        <x:v>经过处理的数据（公开来源）</x:v>
      </x:c>
      <x:c r="R14" s="6" t="str">
        <x:v>deterministic table-row regex over official HTML text</x:v>
      </x:c>
    </x:row>
    <x:row r="15" ht="26" customHeight="1">
      <x:c r="A15" s="6" t="n">
        <x:v>2024</x:v>
      </x:c>
      <x:c r="B15" s="6" t="str">
        <x:v>aquaculture_production_by_species</x:v>
      </x:c>
      <x:c r="C15" s="6" t="str">
        <x:v>aquaculture_algae</x:v>
      </x:c>
      <x:c r="D15" s="6" t="str">
        <x:v>养殖藻类</x:v>
      </x:c>
      <x:c r="E15" s="6" t="str">
        <x:v>freshwater</x:v>
      </x:c>
      <x:c r="F15" s="18" t="n">
        <x:v>1.26</x:v>
      </x:c>
      <x:c r="G15" s="18" t="str">
        <x:v>万吨</x:v>
      </x:c>
      <x:c r="H15" s="18" t="n">
        <x:v>10000</x:v>
      </x:c>
      <x:c r="I15" s="18" t="n">
        <x:v>12600</x:v>
      </x:c>
      <x:c r="J15" s="18" t="str">
        <x:v>tonnes</x:v>
      </x:c>
      <x:c r="K15" s="18" t="n">
        <x:v>13.74</x:v>
      </x:c>
      <x:c r="L15" s="18"/>
      <x:c r="M15" s="6" t="str">
        <x:v>Ministry of Agriculture and Rural Affairs of the PRC</x:v>
      </x:c>
      <x:c r="N15" s="6" t="str">
        <x:v>https://yyj.moa.gov.cn/gzdt/202507/t20250707_6475475.htm</x:v>
      </x:c>
      <x:c r="O15" s="6" t="str">
        <x:v>a4ad7bbeb571678b5ddc776c9e08013b1e7f921a286da1908273de51b723022b</x:v>
      </x:c>
      <x:c r="P15" s="6" t="str">
        <x:v>2026-07-23</x:v>
      </x:c>
      <x:c r="Q15" s="6" t="str">
        <x:v>经过处理的数据（公开来源）</x:v>
      </x:c>
      <x:c r="R15" s="6" t="str">
        <x:v>deterministic table-row regex over official HTML text</x:v>
      </x:c>
    </x:row>
    <x:row r="16" ht="26" customHeight="1">
      <x:c r="A16" s="6" t="n">
        <x:v>2024</x:v>
      </x:c>
      <x:c r="B16" s="6" t="str">
        <x:v>aquaculture_production_by_species</x:v>
      </x:c>
      <x:c r="C16" s="6" t="str">
        <x:v>aquaculture_algae</x:v>
      </x:c>
      <x:c r="D16" s="6" t="str">
        <x:v>养殖藻类</x:v>
      </x:c>
      <x:c r="E16" s="6" t="str">
        <x:v>marine</x:v>
      </x:c>
      <x:c r="F16" s="18" t="n">
        <x:v>302.94</x:v>
      </x:c>
      <x:c r="G16" s="18" t="str">
        <x:v>万吨</x:v>
      </x:c>
      <x:c r="H16" s="18" t="n">
        <x:v>10000</x:v>
      </x:c>
      <x:c r="I16" s="18" t="n">
        <x:v>3029400</x:v>
      </x:c>
      <x:c r="J16" s="18" t="str">
        <x:v>tonnes</x:v>
      </x:c>
      <x:c r="K16" s="18" t="n">
        <x:v>5.48</x:v>
      </x:c>
      <x:c r="L16" s="18"/>
      <x:c r="M16" s="6" t="str">
        <x:v>Ministry of Agriculture and Rural Affairs of the PRC</x:v>
      </x:c>
      <x:c r="N16" s="6" t="str">
        <x:v>https://yyj.moa.gov.cn/gzdt/202507/t20250707_6475475.htm</x:v>
      </x:c>
      <x:c r="O16" s="6" t="str">
        <x:v>a4ad7bbeb571678b5ddc776c9e08013b1e7f921a286da1908273de51b723022b</x:v>
      </x:c>
      <x:c r="P16" s="6" t="str">
        <x:v>2026-07-23</x:v>
      </x:c>
      <x:c r="Q16" s="6" t="str">
        <x:v>经过处理的数据（公开来源）</x:v>
      </x:c>
      <x:c r="R16" s="6" t="str">
        <x:v>deterministic table-row regex over official HTML text</x:v>
      </x:c>
    </x:row>
    <x:row r="17" ht="26" customHeight="1">
      <x:c r="A17" s="6" t="n">
        <x:v>2024</x:v>
      </x:c>
      <x:c r="B17" s="6" t="str">
        <x:v>aquaculture_production_by_species</x:v>
      </x:c>
      <x:c r="C17" s="6" t="str">
        <x:v>aquaculture_algae</x:v>
      </x:c>
      <x:c r="D17" s="6" t="str">
        <x:v>养殖藻类</x:v>
      </x:c>
      <x:c r="E17" s="6" t="str">
        <x:v>total</x:v>
      </x:c>
      <x:c r="F17" s="18" t="n">
        <x:v>304.21</x:v>
      </x:c>
      <x:c r="G17" s="18" t="str">
        <x:v>万吨</x:v>
      </x:c>
      <x:c r="H17" s="18" t="n">
        <x:v>10000</x:v>
      </x:c>
      <x:c r="I17" s="18" t="n">
        <x:v>3042100</x:v>
      </x:c>
      <x:c r="J17" s="18" t="str">
        <x:v>tonnes</x:v>
      </x:c>
      <x:c r="K17" s="18"/>
      <x:c r="L17" s="18"/>
      <x:c r="M17" s="6" t="str">
        <x:v>Ministry of Agriculture and Rural Affairs of the PRC</x:v>
      </x:c>
      <x:c r="N17" s="6" t="str">
        <x:v>https://yyj.moa.gov.cn/gzdt/202507/t20250707_6475475.htm</x:v>
      </x:c>
      <x:c r="O17" s="6" t="str">
        <x:v>a4ad7bbeb571678b5ddc776c9e08013b1e7f921a286da1908273de51b723022b</x:v>
      </x:c>
      <x:c r="P17" s="6" t="str">
        <x:v>2026-07-23</x:v>
      </x:c>
      <x:c r="Q17" s="6" t="str">
        <x:v>经过处理的数据（公开来源）</x:v>
      </x:c>
      <x:c r="R17" s="6" t="str">
        <x:v>deterministic table-row regex over official HTML text</x:v>
      </x:c>
    </x:row>
    <x:row r="18" ht="26" customHeight="1">
      <x:c r="A18" s="6" t="n">
        <x:v>2024</x:v>
      </x:c>
      <x:c r="B18" s="6" t="str">
        <x:v>aquaculture_production_by_species</x:v>
      </x:c>
      <x:c r="C18" s="6" t="str">
        <x:v>aquaculture_crustaceans</x:v>
      </x:c>
      <x:c r="D18" s="6" t="str">
        <x:v>养殖甲壳类</x:v>
      </x:c>
      <x:c r="E18" s="6" t="str">
        <x:v>freshwater</x:v>
      </x:c>
      <x:c r="F18" s="18" t="n">
        <x:v>570.33</x:v>
      </x:c>
      <x:c r="G18" s="18" t="str">
        <x:v>万吨</x:v>
      </x:c>
      <x:c r="H18" s="18" t="n">
        <x:v>10000</x:v>
      </x:c>
      <x:c r="I18" s="18" t="n">
        <x:v>5703300</x:v>
      </x:c>
      <x:c r="J18" s="18" t="str">
        <x:v>tonnes</x:v>
      </x:c>
      <x:c r="K18" s="18" t="n">
        <x:v>7.04</x:v>
      </x:c>
      <x:c r="L18" s="18"/>
      <x:c r="M18" s="6" t="str">
        <x:v>Ministry of Agriculture and Rural Affairs of the PRC</x:v>
      </x:c>
      <x:c r="N18" s="6" t="str">
        <x:v>https://yyj.moa.gov.cn/gzdt/202507/t20250707_6475475.htm</x:v>
      </x:c>
      <x:c r="O18" s="6" t="str">
        <x:v>a4ad7bbeb571678b5ddc776c9e08013b1e7f921a286da1908273de51b723022b</x:v>
      </x:c>
      <x:c r="P18" s="6" t="str">
        <x:v>2026-07-23</x:v>
      </x:c>
      <x:c r="Q18" s="6" t="str">
        <x:v>经过处理的数据（公开来源）</x:v>
      </x:c>
      <x:c r="R18" s="6" t="str">
        <x:v>deterministic table-row regex over official HTML text</x:v>
      </x:c>
    </x:row>
    <x:row r="19" ht="26" customHeight="1">
      <x:c r="A19" s="6" t="n">
        <x:v>2024</x:v>
      </x:c>
      <x:c r="B19" s="6" t="str">
        <x:v>aquaculture_production_by_species</x:v>
      </x:c>
      <x:c r="C19" s="6" t="str">
        <x:v>aquaculture_crustaceans</x:v>
      </x:c>
      <x:c r="D19" s="6" t="str">
        <x:v>养殖甲壳类</x:v>
      </x:c>
      <x:c r="E19" s="6" t="str">
        <x:v>marine</x:v>
      </x:c>
      <x:c r="F19" s="18" t="n">
        <x:v>214.46</x:v>
      </x:c>
      <x:c r="G19" s="18" t="str">
        <x:v>万吨</x:v>
      </x:c>
      <x:c r="H19" s="18" t="n">
        <x:v>10000</x:v>
      </x:c>
      <x:c r="I19" s="18" t="n">
        <x:v>2144600</x:v>
      </x:c>
      <x:c r="J19" s="18" t="str">
        <x:v>tonnes</x:v>
      </x:c>
      <x:c r="K19" s="18" t="n">
        <x:v>4.35</x:v>
      </x:c>
      <x:c r="L19" s="18"/>
      <x:c r="M19" s="6" t="str">
        <x:v>Ministry of Agriculture and Rural Affairs of the PRC</x:v>
      </x:c>
      <x:c r="N19" s="6" t="str">
        <x:v>https://yyj.moa.gov.cn/gzdt/202507/t20250707_6475475.htm</x:v>
      </x:c>
      <x:c r="O19" s="6" t="str">
        <x:v>a4ad7bbeb571678b5ddc776c9e08013b1e7f921a286da1908273de51b723022b</x:v>
      </x:c>
      <x:c r="P19" s="6" t="str">
        <x:v>2026-07-23</x:v>
      </x:c>
      <x:c r="Q19" s="6" t="str">
        <x:v>经过处理的数据（公开来源）</x:v>
      </x:c>
      <x:c r="R19" s="6" t="str">
        <x:v>deterministic table-row regex over official HTML text</x:v>
      </x:c>
    </x:row>
    <x:row r="20" ht="26" customHeight="1">
      <x:c r="A20" s="6" t="n">
        <x:v>2024</x:v>
      </x:c>
      <x:c r="B20" s="6" t="str">
        <x:v>aquaculture_production_by_species</x:v>
      </x:c>
      <x:c r="C20" s="6" t="str">
        <x:v>aquaculture_crustaceans</x:v>
      </x:c>
      <x:c r="D20" s="6" t="str">
        <x:v>养殖甲壳类</x:v>
      </x:c>
      <x:c r="E20" s="6" t="str">
        <x:v>total</x:v>
      </x:c>
      <x:c r="F20" s="18" t="n">
        <x:v>784.79</x:v>
      </x:c>
      <x:c r="G20" s="18" t="str">
        <x:v>万吨</x:v>
      </x:c>
      <x:c r="H20" s="18" t="n">
        <x:v>10000</x:v>
      </x:c>
      <x:c r="I20" s="18" t="n">
        <x:v>7847900</x:v>
      </x:c>
      <x:c r="J20" s="18" t="str">
        <x:v>tonnes</x:v>
      </x:c>
      <x:c r="K20" s="18"/>
      <x:c r="L20" s="18"/>
      <x:c r="M20" s="6" t="str">
        <x:v>Ministry of Agriculture and Rural Affairs of the PRC</x:v>
      </x:c>
      <x:c r="N20" s="6" t="str">
        <x:v>https://yyj.moa.gov.cn/gzdt/202507/t20250707_6475475.htm</x:v>
      </x:c>
      <x:c r="O20" s="6" t="str">
        <x:v>a4ad7bbeb571678b5ddc776c9e08013b1e7f921a286da1908273de51b723022b</x:v>
      </x:c>
      <x:c r="P20" s="6" t="str">
        <x:v>2026-07-23</x:v>
      </x:c>
      <x:c r="Q20" s="6" t="str">
        <x:v>经过处理的数据（公开来源）</x:v>
      </x:c>
      <x:c r="R20" s="6" t="str">
        <x:v>deterministic table-row regex over official HTML text</x:v>
      </x:c>
    </x:row>
    <x:row r="21" ht="26" customHeight="1">
      <x:c r="A21" s="6" t="n">
        <x:v>2024</x:v>
      </x:c>
      <x:c r="B21" s="6" t="str">
        <x:v>aquaculture_production_by_species</x:v>
      </x:c>
      <x:c r="C21" s="6" t="str">
        <x:v>aquaculture_fish</x:v>
      </x:c>
      <x:c r="D21" s="6" t="str">
        <x:v>养殖鱼类</x:v>
      </x:c>
      <x:c r="E21" s="6" t="str">
        <x:v>freshwater</x:v>
      </x:c>
      <x:c r="F21" s="18" t="n">
        <x:v>2842.52</x:v>
      </x:c>
      <x:c r="G21" s="18" t="str">
        <x:v>万吨</x:v>
      </x:c>
      <x:c r="H21" s="18" t="n">
        <x:v>10000</x:v>
      </x:c>
      <x:c r="I21" s="18" t="n">
        <x:v>28425200</x:v>
      </x:c>
      <x:c r="J21" s="18" t="str">
        <x:v>tonnes</x:v>
      </x:c>
      <x:c r="K21" s="18" t="n">
        <x:v>2.56</x:v>
      </x:c>
      <x:c r="L21" s="18"/>
      <x:c r="M21" s="6" t="str">
        <x:v>Ministry of Agriculture and Rural Affairs of the PRC</x:v>
      </x:c>
      <x:c r="N21" s="6" t="str">
        <x:v>https://yyj.moa.gov.cn/gzdt/202507/t20250707_6475475.htm</x:v>
      </x:c>
      <x:c r="O21" s="6" t="str">
        <x:v>a4ad7bbeb571678b5ddc776c9e08013b1e7f921a286da1908273de51b723022b</x:v>
      </x:c>
      <x:c r="P21" s="6" t="str">
        <x:v>2026-07-23</x:v>
      </x:c>
      <x:c r="Q21" s="6" t="str">
        <x:v>经过处理的数据（公开来源）</x:v>
      </x:c>
      <x:c r="R21" s="6" t="str">
        <x:v>deterministic table-row regex over official HTML text</x:v>
      </x:c>
    </x:row>
    <x:row r="22" ht="26" customHeight="1">
      <x:c r="A22" s="6" t="n">
        <x:v>2024</x:v>
      </x:c>
      <x:c r="B22" s="6" t="str">
        <x:v>aquaculture_production_by_species</x:v>
      </x:c>
      <x:c r="C22" s="6" t="str">
        <x:v>aquaculture_fish</x:v>
      </x:c>
      <x:c r="D22" s="6" t="str">
        <x:v>养殖鱼类</x:v>
      </x:c>
      <x:c r="E22" s="6" t="str">
        <x:v>marine</x:v>
      </x:c>
      <x:c r="F22" s="18" t="n">
        <x:v>216.21</x:v>
      </x:c>
      <x:c r="G22" s="18" t="str">
        <x:v>万吨</x:v>
      </x:c>
      <x:c r="H22" s="18" t="n">
        <x:v>10000</x:v>
      </x:c>
      <x:c r="I22" s="18" t="n">
        <x:v>2162100</x:v>
      </x:c>
      <x:c r="J22" s="18" t="str">
        <x:v>tonnes</x:v>
      </x:c>
      <x:c r="K22" s="18" t="n">
        <x:v>5.11</x:v>
      </x:c>
      <x:c r="L22" s="18"/>
      <x:c r="M22" s="6" t="str">
        <x:v>Ministry of Agriculture and Rural Affairs of the PRC</x:v>
      </x:c>
      <x:c r="N22" s="6" t="str">
        <x:v>https://yyj.moa.gov.cn/gzdt/202507/t20250707_6475475.htm</x:v>
      </x:c>
      <x:c r="O22" s="6" t="str">
        <x:v>a4ad7bbeb571678b5ddc776c9e08013b1e7f921a286da1908273de51b723022b</x:v>
      </x:c>
      <x:c r="P22" s="6" t="str">
        <x:v>2026-07-23</x:v>
      </x:c>
      <x:c r="Q22" s="6" t="str">
        <x:v>经过处理的数据（公开来源）</x:v>
      </x:c>
      <x:c r="R22" s="6" t="str">
        <x:v>deterministic table-row regex over official HTML text</x:v>
      </x:c>
    </x:row>
    <x:row r="23" ht="26" customHeight="1">
      <x:c r="A23" s="6" t="n">
        <x:v>2024</x:v>
      </x:c>
      <x:c r="B23" s="6" t="str">
        <x:v>aquaculture_production_by_species</x:v>
      </x:c>
      <x:c r="C23" s="6" t="str">
        <x:v>aquaculture_fish</x:v>
      </x:c>
      <x:c r="D23" s="6" t="str">
        <x:v>养殖鱼类</x:v>
      </x:c>
      <x:c r="E23" s="6" t="str">
        <x:v>total</x:v>
      </x:c>
      <x:c r="F23" s="18" t="n">
        <x:v>3058.74</x:v>
      </x:c>
      <x:c r="G23" s="18" t="str">
        <x:v>万吨</x:v>
      </x:c>
      <x:c r="H23" s="18" t="n">
        <x:v>10000</x:v>
      </x:c>
      <x:c r="I23" s="18" t="n">
        <x:v>30587399.999999996</x:v>
      </x:c>
      <x:c r="J23" s="18" t="str">
        <x:v>tonnes</x:v>
      </x:c>
      <x:c r="K23" s="18"/>
      <x:c r="L23" s="18"/>
      <x:c r="M23" s="6" t="str">
        <x:v>Ministry of Agriculture and Rural Affairs of the PRC</x:v>
      </x:c>
      <x:c r="N23" s="6" t="str">
        <x:v>https://yyj.moa.gov.cn/gzdt/202507/t20250707_6475475.htm</x:v>
      </x:c>
      <x:c r="O23" s="6" t="str">
        <x:v>a4ad7bbeb571678b5ddc776c9e08013b1e7f921a286da1908273de51b723022b</x:v>
      </x:c>
      <x:c r="P23" s="6" t="str">
        <x:v>2026-07-23</x:v>
      </x:c>
      <x:c r="Q23" s="6" t="str">
        <x:v>经过处理的数据（公开来源）</x:v>
      </x:c>
      <x:c r="R23" s="6" t="str">
        <x:v>deterministic table-row regex over official HTML text</x:v>
      </x:c>
    </x:row>
    <x:row r="24" ht="26" customHeight="1">
      <x:c r="A24" s="6" t="n">
        <x:v>2024</x:v>
      </x:c>
      <x:c r="B24" s="6" t="str">
        <x:v>aquaculture_production_by_species</x:v>
      </x:c>
      <x:c r="C24" s="6" t="str">
        <x:v>aquaculture_other</x:v>
      </x:c>
      <x:c r="D24" s="6" t="str">
        <x:v>养殖其他类</x:v>
      </x:c>
      <x:c r="E24" s="6" t="str">
        <x:v>freshwater</x:v>
      </x:c>
      <x:c r="F24" s="18" t="n">
        <x:v>97.5</x:v>
      </x:c>
      <x:c r="G24" s="18" t="str">
        <x:v>万吨</x:v>
      </x:c>
      <x:c r="H24" s="18" t="n">
        <x:v>10000</x:v>
      </x:c>
      <x:c r="I24" s="18" t="n">
        <x:v>975000</x:v>
      </x:c>
      <x:c r="J24" s="18" t="str">
        <x:v>tonnes</x:v>
      </x:c>
      <x:c r="K24" s="18" t="n">
        <x:v>10.01</x:v>
      </x:c>
      <x:c r="L24" s="18"/>
      <x:c r="M24" s="6" t="str">
        <x:v>Ministry of Agriculture and Rural Affairs of the PRC</x:v>
      </x:c>
      <x:c r="N24" s="6" t="str">
        <x:v>https://yyj.moa.gov.cn/gzdt/202507/t20250707_6475475.htm</x:v>
      </x:c>
      <x:c r="O24" s="6" t="str">
        <x:v>a4ad7bbeb571678b5ddc776c9e08013b1e7f921a286da1908273de51b723022b</x:v>
      </x:c>
      <x:c r="P24" s="6" t="str">
        <x:v>2026-07-23</x:v>
      </x:c>
      <x:c r="Q24" s="6" t="str">
        <x:v>经过处理的数据（公开来源）</x:v>
      </x:c>
      <x:c r="R24" s="6" t="str">
        <x:v>deterministic table-row regex over official HTML text</x:v>
      </x:c>
    </x:row>
    <x:row r="25" ht="26" customHeight="1">
      <x:c r="A25" s="6" t="n">
        <x:v>2024</x:v>
      </x:c>
      <x:c r="B25" s="6" t="str">
        <x:v>aquaculture_production_by_species</x:v>
      </x:c>
      <x:c r="C25" s="6" t="str">
        <x:v>aquaculture_other</x:v>
      </x:c>
      <x:c r="D25" s="6" t="str">
        <x:v>养殖其他类</x:v>
      </x:c>
      <x:c r="E25" s="6" t="str">
        <x:v>marine</x:v>
      </x:c>
      <x:c r="F25" s="18" t="n">
        <x:v>54.54</x:v>
      </x:c>
      <x:c r="G25" s="18" t="str">
        <x:v>万吨</x:v>
      </x:c>
      <x:c r="H25" s="18" t="n">
        <x:v>10000</x:v>
      </x:c>
      <x:c r="I25" s="18" t="n">
        <x:v>545400</x:v>
      </x:c>
      <x:c r="J25" s="18" t="str">
        <x:v>tonnes</x:v>
      </x:c>
      <x:c r="K25" s="18" t="n">
        <x:v>6.68</x:v>
      </x:c>
      <x:c r="L25" s="18"/>
      <x:c r="M25" s="6" t="str">
        <x:v>Ministry of Agriculture and Rural Affairs of the PRC</x:v>
      </x:c>
      <x:c r="N25" s="6" t="str">
        <x:v>https://yyj.moa.gov.cn/gzdt/202507/t20250707_6475475.htm</x:v>
      </x:c>
      <x:c r="O25" s="6" t="str">
        <x:v>a4ad7bbeb571678b5ddc776c9e08013b1e7f921a286da1908273de51b723022b</x:v>
      </x:c>
      <x:c r="P25" s="6" t="str">
        <x:v>2026-07-23</x:v>
      </x:c>
      <x:c r="Q25" s="6" t="str">
        <x:v>经过处理的数据（公开来源）</x:v>
      </x:c>
      <x:c r="R25" s="6" t="str">
        <x:v>deterministic table-row regex over official HTML text</x:v>
      </x:c>
    </x:row>
    <x:row r="26" ht="26" customHeight="1">
      <x:c r="A26" s="6" t="n">
        <x:v>2024</x:v>
      </x:c>
      <x:c r="B26" s="6" t="str">
        <x:v>aquaculture_production_by_species</x:v>
      </x:c>
      <x:c r="C26" s="6" t="str">
        <x:v>aquaculture_other</x:v>
      </x:c>
      <x:c r="D26" s="6" t="str">
        <x:v>养殖其他类</x:v>
      </x:c>
      <x:c r="E26" s="6" t="str">
        <x:v>total</x:v>
      </x:c>
      <x:c r="F26" s="18" t="n">
        <x:v>152.04</x:v>
      </x:c>
      <x:c r="G26" s="18" t="str">
        <x:v>万吨</x:v>
      </x:c>
      <x:c r="H26" s="18" t="n">
        <x:v>10000</x:v>
      </x:c>
      <x:c r="I26" s="18" t="n">
        <x:v>1520400</x:v>
      </x:c>
      <x:c r="J26" s="18" t="str">
        <x:v>tonnes</x:v>
      </x:c>
      <x:c r="K26" s="18"/>
      <x:c r="L26" s="18"/>
      <x:c r="M26" s="6" t="str">
        <x:v>Ministry of Agriculture and Rural Affairs of the PRC</x:v>
      </x:c>
      <x:c r="N26" s="6" t="str">
        <x:v>https://yyj.moa.gov.cn/gzdt/202507/t20250707_6475475.htm</x:v>
      </x:c>
      <x:c r="O26" s="6" t="str">
        <x:v>a4ad7bbeb571678b5ddc776c9e08013b1e7f921a286da1908273de51b723022b</x:v>
      </x:c>
      <x:c r="P26" s="6" t="str">
        <x:v>2026-07-23</x:v>
      </x:c>
      <x:c r="Q26" s="6" t="str">
        <x:v>经过处理的数据（公开来源）</x:v>
      </x:c>
      <x:c r="R26" s="6" t="str">
        <x:v>deterministic table-row regex over official HTML text</x:v>
      </x:c>
    </x:row>
    <x:row r="27" ht="26" customHeight="1">
      <x:c r="A27" s="6" t="n">
        <x:v>2024</x:v>
      </x:c>
      <x:c r="B27" s="6" t="str">
        <x:v>aquaculture_production_by_species</x:v>
      </x:c>
      <x:c r="C27" s="6" t="str">
        <x:v>aquaculture_shellfish</x:v>
      </x:c>
      <x:c r="D27" s="6" t="str">
        <x:v>养殖贝类</x:v>
      </x:c>
      <x:c r="E27" s="6" t="str">
        <x:v>freshwater</x:v>
      </x:c>
      <x:c r="F27" s="18" t="n">
        <x:v>20.78</x:v>
      </x:c>
      <x:c r="G27" s="18" t="str">
        <x:v>万吨</x:v>
      </x:c>
      <x:c r="H27" s="18" t="n">
        <x:v>10000</x:v>
      </x:c>
      <x:c r="I27" s="18" t="n">
        <x:v>207800</x:v>
      </x:c>
      <x:c r="J27" s="18" t="str">
        <x:v>tonnes</x:v>
      </x:c>
      <x:c r="K27" s="18" t="n">
        <x:v>4.7</x:v>
      </x:c>
      <x:c r="L27" s="18"/>
      <x:c r="M27" s="6" t="str">
        <x:v>Ministry of Agriculture and Rural Affairs of the PRC</x:v>
      </x:c>
      <x:c r="N27" s="6" t="str">
        <x:v>https://yyj.moa.gov.cn/gzdt/202507/t20250707_6475475.htm</x:v>
      </x:c>
      <x:c r="O27" s="6" t="str">
        <x:v>a4ad7bbeb571678b5ddc776c9e08013b1e7f921a286da1908273de51b723022b</x:v>
      </x:c>
      <x:c r="P27" s="6" t="str">
        <x:v>2026-07-23</x:v>
      </x:c>
      <x:c r="Q27" s="6" t="str">
        <x:v>经过处理的数据（公开来源）</x:v>
      </x:c>
      <x:c r="R27" s="6" t="str">
        <x:v>deterministic table-row regex over official HTML text</x:v>
      </x:c>
    </x:row>
    <x:row r="28" ht="26" customHeight="1">
      <x:c r="A28" s="6" t="n">
        <x:v>2024</x:v>
      </x:c>
      <x:c r="B28" s="6" t="str">
        <x:v>aquaculture_production_by_species</x:v>
      </x:c>
      <x:c r="C28" s="6" t="str">
        <x:v>aquaculture_shellfish</x:v>
      </x:c>
      <x:c r="D28" s="6" t="str">
        <x:v>养殖贝类</x:v>
      </x:c>
      <x:c r="E28" s="6" t="str">
        <x:v>marine</x:v>
      </x:c>
      <x:c r="F28" s="18" t="n">
        <x:v>1739.49</x:v>
      </x:c>
      <x:c r="G28" s="18" t="str">
        <x:v>万吨</x:v>
      </x:c>
      <x:c r="H28" s="18" t="n">
        <x:v>10000</x:v>
      </x:c>
      <x:c r="I28" s="18" t="n">
        <x:v>17394900</x:v>
      </x:c>
      <x:c r="J28" s="18" t="str">
        <x:v>tonnes</x:v>
      </x:c>
      <x:c r="K28" s="18" t="n">
        <x:v>5.68</x:v>
      </x:c>
      <x:c r="L28" s="18"/>
      <x:c r="M28" s="6" t="str">
        <x:v>Ministry of Agriculture and Rural Affairs of the PRC</x:v>
      </x:c>
      <x:c r="N28" s="6" t="str">
        <x:v>https://yyj.moa.gov.cn/gzdt/202507/t20250707_6475475.htm</x:v>
      </x:c>
      <x:c r="O28" s="6" t="str">
        <x:v>a4ad7bbeb571678b5ddc776c9e08013b1e7f921a286da1908273de51b723022b</x:v>
      </x:c>
      <x:c r="P28" s="6" t="str">
        <x:v>2026-07-23</x:v>
      </x:c>
      <x:c r="Q28" s="6" t="str">
        <x:v>经过处理的数据（公开来源）</x:v>
      </x:c>
      <x:c r="R28" s="6" t="str">
        <x:v>deterministic table-row regex over official HTML text</x:v>
      </x:c>
    </x:row>
    <x:row r="29" ht="26" customHeight="1">
      <x:c r="A29" s="6" t="n">
        <x:v>2024</x:v>
      </x:c>
      <x:c r="B29" s="6" t="str">
        <x:v>aquaculture_production_by_species</x:v>
      </x:c>
      <x:c r="C29" s="6" t="str">
        <x:v>aquaculture_shellfish</x:v>
      </x:c>
      <x:c r="D29" s="6" t="str">
        <x:v>养殖贝类</x:v>
      </x:c>
      <x:c r="E29" s="6" t="str">
        <x:v>total</x:v>
      </x:c>
      <x:c r="F29" s="18" t="n">
        <x:v>1760.26</x:v>
      </x:c>
      <x:c r="G29" s="18" t="str">
        <x:v>万吨</x:v>
      </x:c>
      <x:c r="H29" s="18" t="n">
        <x:v>10000</x:v>
      </x:c>
      <x:c r="I29" s="18" t="n">
        <x:v>17602600</x:v>
      </x:c>
      <x:c r="J29" s="18" t="str">
        <x:v>tonnes</x:v>
      </x:c>
      <x:c r="K29" s="18"/>
      <x:c r="L29" s="18"/>
      <x:c r="M29" s="6" t="str">
        <x:v>Ministry of Agriculture and Rural Affairs of the PRC</x:v>
      </x:c>
      <x:c r="N29" s="6" t="str">
        <x:v>https://yyj.moa.gov.cn/gzdt/202507/t20250707_6475475.htm</x:v>
      </x:c>
      <x:c r="O29" s="6" t="str">
        <x:v>a4ad7bbeb571678b5ddc776c9e08013b1e7f921a286da1908273de51b723022b</x:v>
      </x:c>
      <x:c r="P29" s="6" t="str">
        <x:v>2026-07-23</x:v>
      </x:c>
      <x:c r="Q29" s="6" t="str">
        <x:v>经过处理的数据（公开来源）</x:v>
      </x:c>
      <x:c r="R29" s="6" t="str">
        <x:v>deterministic table-row regex over official HTML text</x:v>
      </x:c>
    </x:row>
    <x:row r="30" ht="26" customHeight="1">
      <x:c r="A30" s="6" t="n">
        <x:v>2024</x:v>
      </x:c>
      <x:c r="B30" s="6" t="str">
        <x:v>disaster</x:v>
      </x:c>
      <x:c r="C30" s="6" t="str">
        <x:v>affected_aquaculture_area</x:v>
      </x:c>
      <x:c r="D30" s="6" t="str">
        <x:v>受灾养殖面积</x:v>
      </x:c>
      <x:c r="E30" s="6" t="str">
        <x:v>total</x:v>
      </x:c>
      <x:c r="F30" s="18" t="n">
        <x:v>267.48</x:v>
      </x:c>
      <x:c r="G30" s="18" t="str">
        <x:v>千公顷</x:v>
      </x:c>
      <x:c r="H30" s="18" t="n">
        <x:v>1000</x:v>
      </x:c>
      <x:c r="I30" s="18" t="n">
        <x:v>267480</x:v>
      </x:c>
      <x:c r="J30" s="18" t="str">
        <x:v>hectares</x:v>
      </x:c>
      <x:c r="K30" s="18"/>
      <x:c r="L30" s="18"/>
      <x:c r="M30" s="6" t="str">
        <x:v>Ministry of Agriculture and Rural Affairs of the PRC</x:v>
      </x:c>
      <x:c r="N30" s="6" t="str">
        <x:v>https://yyj.moa.gov.cn/gzdt/202507/t20250707_6475475.htm</x:v>
      </x:c>
      <x:c r="O30" s="6" t="str">
        <x:v>a4ad7bbeb571678b5ddc776c9e08013b1e7f921a286da1908273de51b723022b</x:v>
      </x:c>
      <x:c r="P30" s="6" t="str">
        <x:v>2026-07-23</x:v>
      </x:c>
      <x:c r="Q30" s="6" t="str">
        <x:v>经过处理的数据（公开来源）</x:v>
      </x:c>
      <x:c r="R30" s="6" t="str">
        <x:v>deterministic regex over official HTML text</x:v>
      </x:c>
    </x:row>
    <x:row r="31" ht="26" customHeight="1">
      <x:c r="A31" s="6" t="n">
        <x:v>2024</x:v>
      </x:c>
      <x:c r="B31" s="6" t="str">
        <x:v>disaster</x:v>
      </x:c>
      <x:c r="C31" s="6" t="str">
        <x:v>direct_economic_loss</x:v>
      </x:c>
      <x:c r="D31" s="6" t="str">
        <x:v>直接经济损失</x:v>
      </x:c>
      <x:c r="E31" s="6" t="str">
        <x:v>total</x:v>
      </x:c>
      <x:c r="F31" s="18" t="n">
        <x:v>150.24</x:v>
      </x:c>
      <x:c r="G31" s="18" t="str">
        <x:v>亿元</x:v>
      </x:c>
      <x:c r="H31" s="18" t="n">
        <x:v>1</x:v>
      </x:c>
      <x:c r="I31" s="18" t="n">
        <x:v>150.24</x:v>
      </x:c>
      <x:c r="J31" s="18" t="str">
        <x:v>100 million RMB</x:v>
      </x:c>
      <x:c r="K31" s="18"/>
      <x:c r="L31" s="18"/>
      <x:c r="M31" s="6" t="str">
        <x:v>Ministry of Agriculture and Rural Affairs of the PRC</x:v>
      </x:c>
      <x:c r="N31" s="6" t="str">
        <x:v>https://yyj.moa.gov.cn/gzdt/202507/t20250707_6475475.htm</x:v>
      </x:c>
      <x:c r="O31" s="6" t="str">
        <x:v>a4ad7bbeb571678b5ddc776c9e08013b1e7f921a286da1908273de51b723022b</x:v>
      </x:c>
      <x:c r="P31" s="6" t="str">
        <x:v>2026-07-23</x:v>
      </x:c>
      <x:c r="Q31" s="6" t="str">
        <x:v>经过处理的数据（公开来源）</x:v>
      </x:c>
      <x:c r="R31" s="6" t="str">
        <x:v>deterministic regex over official HTML text</x:v>
      </x:c>
    </x:row>
    <x:row r="32" ht="26" customHeight="1">
      <x:c r="A32" s="6" t="n">
        <x:v>2024</x:v>
      </x:c>
      <x:c r="B32" s="6" t="str">
        <x:v>disaster</x:v>
      </x:c>
      <x:c r="C32" s="6" t="str">
        <x:v>production_loss</x:v>
      </x:c>
      <x:c r="D32" s="6" t="str">
        <x:v>渔业灾情水产品产量损失</x:v>
      </x:c>
      <x:c r="E32" s="6" t="str">
        <x:v>total</x:v>
      </x:c>
      <x:c r="F32" s="18" t="n">
        <x:v>48.15</x:v>
      </x:c>
      <x:c r="G32" s="18" t="str">
        <x:v>万吨</x:v>
      </x:c>
      <x:c r="H32" s="18" t="n">
        <x:v>10000</x:v>
      </x:c>
      <x:c r="I32" s="18" t="n">
        <x:v>481500</x:v>
      </x:c>
      <x:c r="J32" s="18" t="str">
        <x:v>tonnes</x:v>
      </x:c>
      <x:c r="K32" s="18"/>
      <x:c r="L32" s="18"/>
      <x:c r="M32" s="6" t="str">
        <x:v>Ministry of Agriculture and Rural Affairs of the PRC</x:v>
      </x:c>
      <x:c r="N32" s="6" t="str">
        <x:v>https://yyj.moa.gov.cn/gzdt/202507/t20250707_6475475.htm</x:v>
      </x:c>
      <x:c r="O32" s="6" t="str">
        <x:v>a4ad7bbeb571678b5ddc776c9e08013b1e7f921a286da1908273de51b723022b</x:v>
      </x:c>
      <x:c r="P32" s="6" t="str">
        <x:v>2026-07-23</x:v>
      </x:c>
      <x:c r="Q32" s="6" t="str">
        <x:v>经过处理的数据（公开来源）</x:v>
      </x:c>
      <x:c r="R32" s="6" t="str">
        <x:v>deterministic regex over official HTML text</x:v>
      </x:c>
    </x:row>
    <x:row r="33" ht="26" customHeight="1">
      <x:c r="A33" s="6" t="n">
        <x:v>2024</x:v>
      </x:c>
      <x:c r="B33" s="6" t="str">
        <x:v>domestic_capture</x:v>
      </x:c>
      <x:c r="C33" s="6" t="str">
        <x:v>domestic_capture_production</x:v>
      </x:c>
      <x:c r="D33" s="6" t="str">
        <x:v>国内捕捞产量</x:v>
      </x:c>
      <x:c r="E33" s="6" t="str">
        <x:v>freshwater</x:v>
      </x:c>
      <x:c r="F33" s="18" t="n">
        <x:v>116.32</x:v>
      </x:c>
      <x:c r="G33" s="18" t="str">
        <x:v>万吨</x:v>
      </x:c>
      <x:c r="H33" s="18" t="n">
        <x:v>10000</x:v>
      </x:c>
      <x:c r="I33" s="18" t="n">
        <x:v>1163200</x:v>
      </x:c>
      <x:c r="J33" s="18" t="str">
        <x:v>tonnes</x:v>
      </x:c>
      <x:c r="K33" s="18" t="n">
        <x:v>-0.44</x:v>
      </x:c>
      <x:c r="L33" s="18"/>
      <x:c r="M33" s="6" t="str">
        <x:v>Ministry of Agriculture and Rural Affairs of the PRC</x:v>
      </x:c>
      <x:c r="N33" s="6" t="str">
        <x:v>https://yyj.moa.gov.cn/gzdt/202507/t20250707_6475475.htm</x:v>
      </x:c>
      <x:c r="O33" s="6" t="str">
        <x:v>a4ad7bbeb571678b5ddc776c9e08013b1e7f921a286da1908273de51b723022b</x:v>
      </x:c>
      <x:c r="P33" s="6" t="str">
        <x:v>2026-07-23</x:v>
      </x:c>
      <x:c r="Q33" s="6" t="str">
        <x:v>经过处理的数据（公开来源）</x:v>
      </x:c>
      <x:c r="R33" s="6" t="str">
        <x:v>deterministic table-row regex over official HTML text</x:v>
      </x:c>
    </x:row>
    <x:row r="34" ht="26" customHeight="1">
      <x:c r="A34" s="6" t="n">
        <x:v>2024</x:v>
      </x:c>
      <x:c r="B34" s="6" t="str">
        <x:v>domestic_capture</x:v>
      </x:c>
      <x:c r="C34" s="6" t="str">
        <x:v>domestic_capture_production</x:v>
      </x:c>
      <x:c r="D34" s="6" t="str">
        <x:v>国内捕捞产量</x:v>
      </x:c>
      <x:c r="E34" s="6" t="str">
        <x:v>marine</x:v>
      </x:c>
      <x:c r="F34" s="18" t="n">
        <x:v>962.32</x:v>
      </x:c>
      <x:c r="G34" s="18" t="str">
        <x:v>万吨</x:v>
      </x:c>
      <x:c r="H34" s="18" t="n">
        <x:v>10000</x:v>
      </x:c>
      <x:c r="I34" s="18" t="n">
        <x:v>9623200</x:v>
      </x:c>
      <x:c r="J34" s="18" t="str">
        <x:v>tonnes</x:v>
      </x:c>
      <x:c r="K34" s="18" t="n">
        <x:v>0.5</x:v>
      </x:c>
      <x:c r="L34" s="18"/>
      <x:c r="M34" s="6" t="str">
        <x:v>Ministry of Agriculture and Rural Affairs of the PRC</x:v>
      </x:c>
      <x:c r="N34" s="6" t="str">
        <x:v>https://yyj.moa.gov.cn/gzdt/202507/t20250707_6475475.htm</x:v>
      </x:c>
      <x:c r="O34" s="6" t="str">
        <x:v>a4ad7bbeb571678b5ddc776c9e08013b1e7f921a286da1908273de51b723022b</x:v>
      </x:c>
      <x:c r="P34" s="6" t="str">
        <x:v>2026-07-23</x:v>
      </x:c>
      <x:c r="Q34" s="6" t="str">
        <x:v>经过处理的数据（公开来源）</x:v>
      </x:c>
      <x:c r="R34" s="6" t="str">
        <x:v>deterministic table-row regex over official HTML text</x:v>
      </x:c>
    </x:row>
    <x:row r="35" ht="26" customHeight="1">
      <x:c r="A35" s="6" t="n">
        <x:v>2024</x:v>
      </x:c>
      <x:c r="B35" s="6" t="str">
        <x:v>domestic_capture</x:v>
      </x:c>
      <x:c r="C35" s="6" t="str">
        <x:v>domestic_capture_production</x:v>
      </x:c>
      <x:c r="D35" s="6" t="str">
        <x:v>国内捕捞产量</x:v>
      </x:c>
      <x:c r="E35" s="6" t="str">
        <x:v>total</x:v>
      </x:c>
      <x:c r="F35" s="18" t="n">
        <x:v>1078.65</x:v>
      </x:c>
      <x:c r="G35" s="18" t="str">
        <x:v>万吨</x:v>
      </x:c>
      <x:c r="H35" s="18" t="n">
        <x:v>10000</x:v>
      </x:c>
      <x:c r="I35" s="18" t="n">
        <x:v>10786500</x:v>
      </x:c>
      <x:c r="J35" s="18" t="str">
        <x:v>tonnes</x:v>
      </x:c>
      <x:c r="K35" s="18"/>
      <x:c r="L35" s="18"/>
      <x:c r="M35" s="6" t="str">
        <x:v>Ministry of Agriculture and Rural Affairs of the PRC</x:v>
      </x:c>
      <x:c r="N35" s="6" t="str">
        <x:v>https://yyj.moa.gov.cn/gzdt/202507/t20250707_6475475.htm</x:v>
      </x:c>
      <x:c r="O35" s="6" t="str">
        <x:v>a4ad7bbeb571678b5ddc776c9e08013b1e7f921a286da1908273de51b723022b</x:v>
      </x:c>
      <x:c r="P35" s="6" t="str">
        <x:v>2026-07-23</x:v>
      </x:c>
      <x:c r="Q35" s="6" t="str">
        <x:v>经过处理的数据（公开来源）</x:v>
      </x:c>
      <x:c r="R35" s="6" t="str">
        <x:v>deterministic table-row regex over official HTML text</x:v>
      </x:c>
    </x:row>
    <x:row r="36" ht="26" customHeight="1">
      <x:c r="A36" s="6" t="n">
        <x:v>2024</x:v>
      </x:c>
      <x:c r="B36" s="6" t="str">
        <x:v>domestic_capture_by_species</x:v>
      </x:c>
      <x:c r="C36" s="6" t="str">
        <x:v>domestic_capture_algae</x:v>
      </x:c>
      <x:c r="D36" s="6" t="str">
        <x:v>国内捕捞藻类</x:v>
      </x:c>
      <x:c r="E36" s="6" t="str">
        <x:v>marine</x:v>
      </x:c>
      <x:c r="F36" s="18" t="n">
        <x:v>3.19</x:v>
      </x:c>
      <x:c r="G36" s="18" t="str">
        <x:v>万吨</x:v>
      </x:c>
      <x:c r="H36" s="18" t="n">
        <x:v>10000</x:v>
      </x:c>
      <x:c r="I36" s="18" t="n">
        <x:v>31900</x:v>
      </x:c>
      <x:c r="J36" s="18" t="str">
        <x:v>tonnes</x:v>
      </x:c>
      <x:c r="K36" s="18" t="n">
        <x:v>45.01</x:v>
      </x:c>
      <x:c r="L36" s="18"/>
      <x:c r="M36" s="6" t="str">
        <x:v>Ministry of Agriculture and Rural Affairs of the PRC</x:v>
      </x:c>
      <x:c r="N36" s="6" t="str">
        <x:v>https://yyj.moa.gov.cn/gzdt/202507/t20250707_6475475.htm</x:v>
      </x:c>
      <x:c r="O36" s="6" t="str">
        <x:v>a4ad7bbeb571678b5ddc776c9e08013b1e7f921a286da1908273de51b723022b</x:v>
      </x:c>
      <x:c r="P36" s="6" t="str">
        <x:v>2026-07-23</x:v>
      </x:c>
      <x:c r="Q36" s="6" t="str">
        <x:v>经过处理的数据（公开来源）</x:v>
      </x:c>
      <x:c r="R36" s="6" t="str">
        <x:v>deterministic table-row regex over official HTML text</x:v>
      </x:c>
    </x:row>
    <x:row r="37" ht="26" customHeight="1">
      <x:c r="A37" s="6" t="n">
        <x:v>2024</x:v>
      </x:c>
      <x:c r="B37" s="6" t="str">
        <x:v>domestic_capture_by_species</x:v>
      </x:c>
      <x:c r="C37" s="6" t="str">
        <x:v>domestic_capture_algae</x:v>
      </x:c>
      <x:c r="D37" s="6" t="str">
        <x:v>国内捕捞藻类</x:v>
      </x:c>
      <x:c r="E37" s="6" t="str">
        <x:v>total</x:v>
      </x:c>
      <x:c r="F37" s="18" t="n">
        <x:v>3.19</x:v>
      </x:c>
      <x:c r="G37" s="18" t="str">
        <x:v>万吨</x:v>
      </x:c>
      <x:c r="H37" s="18" t="n">
        <x:v>10000</x:v>
      </x:c>
      <x:c r="I37" s="18" t="n">
        <x:v>31900</x:v>
      </x:c>
      <x:c r="J37" s="18" t="str">
        <x:v>tonnes</x:v>
      </x:c>
      <x:c r="K37" s="18"/>
      <x:c r="L37" s="18"/>
      <x:c r="M37" s="6" t="str">
        <x:v>Ministry of Agriculture and Rural Affairs of the PRC</x:v>
      </x:c>
      <x:c r="N37" s="6" t="str">
        <x:v>https://yyj.moa.gov.cn/gzdt/202507/t20250707_6475475.htm</x:v>
      </x:c>
      <x:c r="O37" s="6" t="str">
        <x:v>a4ad7bbeb571678b5ddc776c9e08013b1e7f921a286da1908273de51b723022b</x:v>
      </x:c>
      <x:c r="P37" s="6" t="str">
        <x:v>2026-07-23</x:v>
      </x:c>
      <x:c r="Q37" s="6" t="str">
        <x:v>经过处理的数据（公开来源）</x:v>
      </x:c>
      <x:c r="R37" s="6" t="str">
        <x:v>deterministic table-row regex over official HTML text</x:v>
      </x:c>
    </x:row>
    <x:row r="38" ht="26" customHeight="1">
      <x:c r="A38" s="6" t="n">
        <x:v>2024</x:v>
      </x:c>
      <x:c r="B38" s="6" t="str">
        <x:v>domestic_capture_by_species</x:v>
      </x:c>
      <x:c r="C38" s="6" t="str">
        <x:v>domestic_capture_cephalopods</x:v>
      </x:c>
      <x:c r="D38" s="6" t="str">
        <x:v>国内捕捞头足类</x:v>
      </x:c>
      <x:c r="E38" s="6" t="str">
        <x:v>marine</x:v>
      </x:c>
      <x:c r="F38" s="18" t="n">
        <x:v>59.79</x:v>
      </x:c>
      <x:c r="G38" s="18" t="str">
        <x:v>万吨</x:v>
      </x:c>
      <x:c r="H38" s="18" t="n">
        <x:v>10000</x:v>
      </x:c>
      <x:c r="I38" s="18" t="n">
        <x:v>597900</x:v>
      </x:c>
      <x:c r="J38" s="18" t="str">
        <x:v>tonnes</x:v>
      </x:c>
      <x:c r="K38" s="18" t="n">
        <x:v>0.73</x:v>
      </x:c>
      <x:c r="L38" s="18"/>
      <x:c r="M38" s="6" t="str">
        <x:v>Ministry of Agriculture and Rural Affairs of the PRC</x:v>
      </x:c>
      <x:c r="N38" s="6" t="str">
        <x:v>https://yyj.moa.gov.cn/gzdt/202507/t20250707_6475475.htm</x:v>
      </x:c>
      <x:c r="O38" s="6" t="str">
        <x:v>a4ad7bbeb571678b5ddc776c9e08013b1e7f921a286da1908273de51b723022b</x:v>
      </x:c>
      <x:c r="P38" s="6" t="str">
        <x:v>2026-07-23</x:v>
      </x:c>
      <x:c r="Q38" s="6" t="str">
        <x:v>经过处理的数据（公开来源）</x:v>
      </x:c>
      <x:c r="R38" s="6" t="str">
        <x:v>deterministic table-row regex over official HTML text</x:v>
      </x:c>
    </x:row>
    <x:row r="39" ht="26" customHeight="1">
      <x:c r="A39" s="6" t="n">
        <x:v>2024</x:v>
      </x:c>
      <x:c r="B39" s="6" t="str">
        <x:v>domestic_capture_by_species</x:v>
      </x:c>
      <x:c r="C39" s="6" t="str">
        <x:v>domestic_capture_cephalopods</x:v>
      </x:c>
      <x:c r="D39" s="6" t="str">
        <x:v>国内捕捞头足类</x:v>
      </x:c>
      <x:c r="E39" s="6" t="str">
        <x:v>total</x:v>
      </x:c>
      <x:c r="F39" s="18" t="n">
        <x:v>59.79</x:v>
      </x:c>
      <x:c r="G39" s="18" t="str">
        <x:v>万吨</x:v>
      </x:c>
      <x:c r="H39" s="18" t="n">
        <x:v>10000</x:v>
      </x:c>
      <x:c r="I39" s="18" t="n">
        <x:v>597900</x:v>
      </x:c>
      <x:c r="J39" s="18" t="str">
        <x:v>tonnes</x:v>
      </x:c>
      <x:c r="K39" s="18"/>
      <x:c r="L39" s="18"/>
      <x:c r="M39" s="6" t="str">
        <x:v>Ministry of Agriculture and Rural Affairs of the PRC</x:v>
      </x:c>
      <x:c r="N39" s="6" t="str">
        <x:v>https://yyj.moa.gov.cn/gzdt/202507/t20250707_6475475.htm</x:v>
      </x:c>
      <x:c r="O39" s="6" t="str">
        <x:v>a4ad7bbeb571678b5ddc776c9e08013b1e7f921a286da1908273de51b723022b</x:v>
      </x:c>
      <x:c r="P39" s="6" t="str">
        <x:v>2026-07-23</x:v>
      </x:c>
      <x:c r="Q39" s="6" t="str">
        <x:v>经过处理的数据（公开来源）</x:v>
      </x:c>
      <x:c r="R39" s="6" t="str">
        <x:v>deterministic table-row regex over official HTML text</x:v>
      </x:c>
    </x:row>
    <x:row r="40" ht="26" customHeight="1">
      <x:c r="A40" s="6" t="n">
        <x:v>2024</x:v>
      </x:c>
      <x:c r="B40" s="6" t="str">
        <x:v>domestic_capture_by_species</x:v>
      </x:c>
      <x:c r="C40" s="6" t="str">
        <x:v>domestic_capture_crustaceans</x:v>
      </x:c>
      <x:c r="D40" s="6" t="str">
        <x:v>国内捕捞甲壳类</x:v>
      </x:c>
      <x:c r="E40" s="6" t="str">
        <x:v>freshwater</x:v>
      </x:c>
      <x:c r="F40" s="18" t="n">
        <x:v>12.08</x:v>
      </x:c>
      <x:c r="G40" s="18" t="str">
        <x:v>万吨</x:v>
      </x:c>
      <x:c r="H40" s="18" t="n">
        <x:v>10000</x:v>
      </x:c>
      <x:c r="I40" s="18" t="n">
        <x:v>120800</x:v>
      </x:c>
      <x:c r="J40" s="18" t="str">
        <x:v>tonnes</x:v>
      </x:c>
      <x:c r="K40" s="18" t="n">
        <x:v>0.01</x:v>
      </x:c>
      <x:c r="L40" s="18"/>
      <x:c r="M40" s="6" t="str">
        <x:v>Ministry of Agriculture and Rural Affairs of the PRC</x:v>
      </x:c>
      <x:c r="N40" s="6" t="str">
        <x:v>https://yyj.moa.gov.cn/gzdt/202507/t20250707_6475475.htm</x:v>
      </x:c>
      <x:c r="O40" s="6" t="str">
        <x:v>a4ad7bbeb571678b5ddc776c9e08013b1e7f921a286da1908273de51b723022b</x:v>
      </x:c>
      <x:c r="P40" s="6" t="str">
        <x:v>2026-07-23</x:v>
      </x:c>
      <x:c r="Q40" s="6" t="str">
        <x:v>经过处理的数据（公开来源）</x:v>
      </x:c>
      <x:c r="R40" s="6" t="str">
        <x:v>deterministic table-row regex over official HTML text</x:v>
      </x:c>
    </x:row>
    <x:row r="41" ht="26" customHeight="1">
      <x:c r="A41" s="6" t="n">
        <x:v>2024</x:v>
      </x:c>
      <x:c r="B41" s="6" t="str">
        <x:v>domestic_capture_by_species</x:v>
      </x:c>
      <x:c r="C41" s="6" t="str">
        <x:v>domestic_capture_crustaceans</x:v>
      </x:c>
      <x:c r="D41" s="6" t="str">
        <x:v>国内捕捞甲壳类</x:v>
      </x:c>
      <x:c r="E41" s="6" t="str">
        <x:v>marine</x:v>
      </x:c>
      <x:c r="F41" s="18" t="n">
        <x:v>188.16</x:v>
      </x:c>
      <x:c r="G41" s="18" t="str">
        <x:v>万吨</x:v>
      </x:c>
      <x:c r="H41" s="18" t="n">
        <x:v>10000</x:v>
      </x:c>
      <x:c r="I41" s="18" t="n">
        <x:v>1881600</x:v>
      </x:c>
      <x:c r="J41" s="18" t="str">
        <x:v>tonnes</x:v>
      </x:c>
      <x:c r="K41" s="18" t="n">
        <x:v>-1.21</x:v>
      </x:c>
      <x:c r="L41" s="18"/>
      <x:c r="M41" s="6" t="str">
        <x:v>Ministry of Agriculture and Rural Affairs of the PRC</x:v>
      </x:c>
      <x:c r="N41" s="6" t="str">
        <x:v>https://yyj.moa.gov.cn/gzdt/202507/t20250707_6475475.htm</x:v>
      </x:c>
      <x:c r="O41" s="6" t="str">
        <x:v>a4ad7bbeb571678b5ddc776c9e08013b1e7f921a286da1908273de51b723022b</x:v>
      </x:c>
      <x:c r="P41" s="6" t="str">
        <x:v>2026-07-23</x:v>
      </x:c>
      <x:c r="Q41" s="6" t="str">
        <x:v>经过处理的数据（公开来源）</x:v>
      </x:c>
      <x:c r="R41" s="6" t="str">
        <x:v>deterministic table-row regex over official HTML text</x:v>
      </x:c>
    </x:row>
    <x:row r="42" ht="26" customHeight="1">
      <x:c r="A42" s="6" t="n">
        <x:v>2024</x:v>
      </x:c>
      <x:c r="B42" s="6" t="str">
        <x:v>domestic_capture_by_species</x:v>
      </x:c>
      <x:c r="C42" s="6" t="str">
        <x:v>domestic_capture_crustaceans</x:v>
      </x:c>
      <x:c r="D42" s="6" t="str">
        <x:v>国内捕捞甲壳类</x:v>
      </x:c>
      <x:c r="E42" s="6" t="str">
        <x:v>total</x:v>
      </x:c>
      <x:c r="F42" s="18" t="n">
        <x:v>200.24</x:v>
      </x:c>
      <x:c r="G42" s="18" t="str">
        <x:v>万吨</x:v>
      </x:c>
      <x:c r="H42" s="18" t="n">
        <x:v>10000</x:v>
      </x:c>
      <x:c r="I42" s="18" t="n">
        <x:v>2002400</x:v>
      </x:c>
      <x:c r="J42" s="18" t="str">
        <x:v>tonnes</x:v>
      </x:c>
      <x:c r="K42" s="18"/>
      <x:c r="L42" s="18"/>
      <x:c r="M42" s="6" t="str">
        <x:v>Ministry of Agriculture and Rural Affairs of the PRC</x:v>
      </x:c>
      <x:c r="N42" s="6" t="str">
        <x:v>https://yyj.moa.gov.cn/gzdt/202507/t20250707_6475475.htm</x:v>
      </x:c>
      <x:c r="O42" s="6" t="str">
        <x:v>a4ad7bbeb571678b5ddc776c9e08013b1e7f921a286da1908273de51b723022b</x:v>
      </x:c>
      <x:c r="P42" s="6" t="str">
        <x:v>2026-07-23</x:v>
      </x:c>
      <x:c r="Q42" s="6" t="str">
        <x:v>经过处理的数据（公开来源）</x:v>
      </x:c>
      <x:c r="R42" s="6" t="str">
        <x:v>deterministic table-row regex over official HTML text</x:v>
      </x:c>
    </x:row>
    <x:row r="43" ht="26" customHeight="1">
      <x:c r="A43" s="6" t="n">
        <x:v>2024</x:v>
      </x:c>
      <x:c r="B43" s="6" t="str">
        <x:v>domestic_capture_by_species</x:v>
      </x:c>
      <x:c r="C43" s="6" t="str">
        <x:v>domestic_capture_fish</x:v>
      </x:c>
      <x:c r="D43" s="6" t="str">
        <x:v>国内捕捞鱼类</x:v>
      </x:c>
      <x:c r="E43" s="6" t="str">
        <x:v>freshwater</x:v>
      </x:c>
      <x:c r="F43" s="18" t="n">
        <x:v>90.31</x:v>
      </x:c>
      <x:c r="G43" s="18" t="str">
        <x:v>万吨</x:v>
      </x:c>
      <x:c r="H43" s="18" t="n">
        <x:v>10000</x:v>
      </x:c>
      <x:c r="I43" s="18" t="n">
        <x:v>903100</x:v>
      </x:c>
      <x:c r="J43" s="18" t="str">
        <x:v>tonnes</x:v>
      </x:c>
      <x:c r="K43" s="18" t="n">
        <x:v>-0.59</x:v>
      </x:c>
      <x:c r="L43" s="18"/>
      <x:c r="M43" s="6" t="str">
        <x:v>Ministry of Agriculture and Rural Affairs of the PRC</x:v>
      </x:c>
      <x:c r="N43" s="6" t="str">
        <x:v>https://yyj.moa.gov.cn/gzdt/202507/t20250707_6475475.htm</x:v>
      </x:c>
      <x:c r="O43" s="6" t="str">
        <x:v>a4ad7bbeb571678b5ddc776c9e08013b1e7f921a286da1908273de51b723022b</x:v>
      </x:c>
      <x:c r="P43" s="6" t="str">
        <x:v>2026-07-23</x:v>
      </x:c>
      <x:c r="Q43" s="6" t="str">
        <x:v>经过处理的数据（公开来源）</x:v>
      </x:c>
      <x:c r="R43" s="6" t="str">
        <x:v>deterministic table-row regex over official HTML text</x:v>
      </x:c>
    </x:row>
    <x:row r="44" ht="26" customHeight="1">
      <x:c r="A44" s="6" t="n">
        <x:v>2024</x:v>
      </x:c>
      <x:c r="B44" s="6" t="str">
        <x:v>domestic_capture_by_species</x:v>
      </x:c>
      <x:c r="C44" s="6" t="str">
        <x:v>domestic_capture_fish</x:v>
      </x:c>
      <x:c r="D44" s="6" t="str">
        <x:v>国内捕捞鱼类</x:v>
      </x:c>
      <x:c r="E44" s="6" t="str">
        <x:v>marine</x:v>
      </x:c>
      <x:c r="F44" s="18" t="n">
        <x:v>648.72</x:v>
      </x:c>
      <x:c r="G44" s="18" t="str">
        <x:v>万吨</x:v>
      </x:c>
      <x:c r="H44" s="18" t="n">
        <x:v>10000</x:v>
      </x:c>
      <x:c r="I44" s="18" t="n">
        <x:v>6487200</x:v>
      </x:c>
      <x:c r="J44" s="18" t="str">
        <x:v>tonnes</x:v>
      </x:c>
      <x:c r="K44" s="18" t="n">
        <x:v>0.42</x:v>
      </x:c>
      <x:c r="L44" s="18"/>
      <x:c r="M44" s="6" t="str">
        <x:v>Ministry of Agriculture and Rural Affairs of the PRC</x:v>
      </x:c>
      <x:c r="N44" s="6" t="str">
        <x:v>https://yyj.moa.gov.cn/gzdt/202507/t20250707_6475475.htm</x:v>
      </x:c>
      <x:c r="O44" s="6" t="str">
        <x:v>a4ad7bbeb571678b5ddc776c9e08013b1e7f921a286da1908273de51b723022b</x:v>
      </x:c>
      <x:c r="P44" s="6" t="str">
        <x:v>2026-07-23</x:v>
      </x:c>
      <x:c r="Q44" s="6" t="str">
        <x:v>经过处理的数据（公开来源）</x:v>
      </x:c>
      <x:c r="R44" s="6" t="str">
        <x:v>deterministic table-row regex over official HTML text</x:v>
      </x:c>
    </x:row>
    <x:row r="45" ht="26" customHeight="1">
      <x:c r="A45" s="6" t="n">
        <x:v>2024</x:v>
      </x:c>
      <x:c r="B45" s="6" t="str">
        <x:v>domestic_capture_by_species</x:v>
      </x:c>
      <x:c r="C45" s="6" t="str">
        <x:v>domestic_capture_fish</x:v>
      </x:c>
      <x:c r="D45" s="6" t="str">
        <x:v>国内捕捞鱼类</x:v>
      </x:c>
      <x:c r="E45" s="6" t="str">
        <x:v>total</x:v>
      </x:c>
      <x:c r="F45" s="18" t="n">
        <x:v>739.03</x:v>
      </x:c>
      <x:c r="G45" s="18" t="str">
        <x:v>万吨</x:v>
      </x:c>
      <x:c r="H45" s="18" t="n">
        <x:v>10000</x:v>
      </x:c>
      <x:c r="I45" s="18" t="n">
        <x:v>7390300</x:v>
      </x:c>
      <x:c r="J45" s="18" t="str">
        <x:v>tonnes</x:v>
      </x:c>
      <x:c r="K45" s="18"/>
      <x:c r="L45" s="18"/>
      <x:c r="M45" s="6" t="str">
        <x:v>Ministry of Agriculture and Rural Affairs of the PRC</x:v>
      </x:c>
      <x:c r="N45" s="6" t="str">
        <x:v>https://yyj.moa.gov.cn/gzdt/202507/t20250707_6475475.htm</x:v>
      </x:c>
      <x:c r="O45" s="6" t="str">
        <x:v>a4ad7bbeb571678b5ddc776c9e08013b1e7f921a286da1908273de51b723022b</x:v>
      </x:c>
      <x:c r="P45" s="6" t="str">
        <x:v>2026-07-23</x:v>
      </x:c>
      <x:c r="Q45" s="6" t="str">
        <x:v>经过处理的数据（公开来源）</x:v>
      </x:c>
      <x:c r="R45" s="6" t="str">
        <x:v>deterministic table-row regex over official HTML text</x:v>
      </x:c>
    </x:row>
    <x:row r="46" ht="26" customHeight="1">
      <x:c r="A46" s="6" t="n">
        <x:v>2024</x:v>
      </x:c>
      <x:c r="B46" s="6" t="str">
        <x:v>domestic_capture_by_species</x:v>
      </x:c>
      <x:c r="C46" s="6" t="str">
        <x:v>domestic_capture_other</x:v>
      </x:c>
      <x:c r="D46" s="6" t="str">
        <x:v>国内捕捞其他类</x:v>
      </x:c>
      <x:c r="E46" s="6" t="str">
        <x:v>freshwater</x:v>
      </x:c>
      <x:c r="F46" s="18" t="n">
        <x:v>1.11</x:v>
      </x:c>
      <x:c r="G46" s="18" t="str">
        <x:v>万吨</x:v>
      </x:c>
      <x:c r="H46" s="18" t="n">
        <x:v>10000</x:v>
      </x:c>
      <x:c r="I46" s="18" t="n">
        <x:v>11100.000000000002</x:v>
      </x:c>
      <x:c r="J46" s="18" t="str">
        <x:v>tonnes</x:v>
      </x:c>
      <x:c r="K46" s="18" t="n">
        <x:v>-9.63</x:v>
      </x:c>
      <x:c r="L46" s="18"/>
      <x:c r="M46" s="6" t="str">
        <x:v>Ministry of Agriculture and Rural Affairs of the PRC</x:v>
      </x:c>
      <x:c r="N46" s="6" t="str">
        <x:v>https://yyj.moa.gov.cn/gzdt/202507/t20250707_6475475.htm</x:v>
      </x:c>
      <x:c r="O46" s="6" t="str">
        <x:v>a4ad7bbeb571678b5ddc776c9e08013b1e7f921a286da1908273de51b723022b</x:v>
      </x:c>
      <x:c r="P46" s="6" t="str">
        <x:v>2026-07-23</x:v>
      </x:c>
      <x:c r="Q46" s="6" t="str">
        <x:v>经过处理的数据（公开来源）</x:v>
      </x:c>
      <x:c r="R46" s="6" t="str">
        <x:v>deterministic table-row regex over official HTML text</x:v>
      </x:c>
    </x:row>
    <x:row r="47" ht="26" customHeight="1">
      <x:c r="A47" s="6" t="n">
        <x:v>2024</x:v>
      </x:c>
      <x:c r="B47" s="6" t="str">
        <x:v>domestic_capture_by_species</x:v>
      </x:c>
      <x:c r="C47" s="6" t="str">
        <x:v>domestic_capture_other</x:v>
      </x:c>
      <x:c r="D47" s="6" t="str">
        <x:v>国内捕捞其他类</x:v>
      </x:c>
      <x:c r="E47" s="6" t="str">
        <x:v>marine</x:v>
      </x:c>
      <x:c r="F47" s="18" t="n">
        <x:v>26.77</x:v>
      </x:c>
      <x:c r="G47" s="18" t="str">
        <x:v>万吨</x:v>
      </x:c>
      <x:c r="H47" s="18" t="n">
        <x:v>10000</x:v>
      </x:c>
      <x:c r="I47" s="18" t="n">
        <x:v>267700</x:v>
      </x:c>
      <x:c r="J47" s="18" t="str">
        <x:v>tonnes</x:v>
      </x:c>
      <x:c r="K47" s="18" t="n">
        <x:v>10.79</x:v>
      </x:c>
      <x:c r="L47" s="18"/>
      <x:c r="M47" s="6" t="str">
        <x:v>Ministry of Agriculture and Rural Affairs of the PRC</x:v>
      </x:c>
      <x:c r="N47" s="6" t="str">
        <x:v>https://yyj.moa.gov.cn/gzdt/202507/t20250707_6475475.htm</x:v>
      </x:c>
      <x:c r="O47" s="6" t="str">
        <x:v>a4ad7bbeb571678b5ddc776c9e08013b1e7f921a286da1908273de51b723022b</x:v>
      </x:c>
      <x:c r="P47" s="6" t="str">
        <x:v>2026-07-23</x:v>
      </x:c>
      <x:c r="Q47" s="6" t="str">
        <x:v>经过处理的数据（公开来源）</x:v>
      </x:c>
      <x:c r="R47" s="6" t="str">
        <x:v>deterministic table-row regex over official HTML text</x:v>
      </x:c>
    </x:row>
    <x:row r="48" ht="26" customHeight="1">
      <x:c r="A48" s="6" t="n">
        <x:v>2024</x:v>
      </x:c>
      <x:c r="B48" s="6" t="str">
        <x:v>domestic_capture_by_species</x:v>
      </x:c>
      <x:c r="C48" s="6" t="str">
        <x:v>domestic_capture_other</x:v>
      </x:c>
      <x:c r="D48" s="6" t="str">
        <x:v>国内捕捞其他类</x:v>
      </x:c>
      <x:c r="E48" s="6" t="str">
        <x:v>total</x:v>
      </x:c>
      <x:c r="F48" s="18" t="n">
        <x:v>27.87</x:v>
      </x:c>
      <x:c r="G48" s="18" t="str">
        <x:v>万吨</x:v>
      </x:c>
      <x:c r="H48" s="18" t="n">
        <x:v>10000</x:v>
      </x:c>
      <x:c r="I48" s="18" t="n">
        <x:v>278700</x:v>
      </x:c>
      <x:c r="J48" s="18" t="str">
        <x:v>tonnes</x:v>
      </x:c>
      <x:c r="K48" s="18"/>
      <x:c r="L48" s="18"/>
      <x:c r="M48" s="6" t="str">
        <x:v>Ministry of Agriculture and Rural Affairs of the PRC</x:v>
      </x:c>
      <x:c r="N48" s="6" t="str">
        <x:v>https://yyj.moa.gov.cn/gzdt/202507/t20250707_6475475.htm</x:v>
      </x:c>
      <x:c r="O48" s="6" t="str">
        <x:v>a4ad7bbeb571678b5ddc776c9e08013b1e7f921a286da1908273de51b723022b</x:v>
      </x:c>
      <x:c r="P48" s="6" t="str">
        <x:v>2026-07-23</x:v>
      </x:c>
      <x:c r="Q48" s="6" t="str">
        <x:v>经过处理的数据（公开来源）</x:v>
      </x:c>
      <x:c r="R48" s="6" t="str">
        <x:v>deterministic table-row regex over official HTML text</x:v>
      </x:c>
    </x:row>
    <x:row r="49" ht="26" customHeight="1">
      <x:c r="A49" s="6" t="n">
        <x:v>2024</x:v>
      </x:c>
      <x:c r="B49" s="6" t="str">
        <x:v>domestic_capture_by_species</x:v>
      </x:c>
      <x:c r="C49" s="6" t="str">
        <x:v>domestic_capture_shellfish</x:v>
      </x:c>
      <x:c r="D49" s="6" t="str">
        <x:v>国内捕捞贝类</x:v>
      </x:c>
      <x:c r="E49" s="6" t="str">
        <x:v>freshwater</x:v>
      </x:c>
      <x:c r="F49" s="18" t="n">
        <x:v>12.82</x:v>
      </x:c>
      <x:c r="G49" s="18" t="str">
        <x:v>万吨</x:v>
      </x:c>
      <x:c r="H49" s="18" t="n">
        <x:v>10000</x:v>
      </x:c>
      <x:c r="I49" s="18" t="n">
        <x:v>128200</x:v>
      </x:c>
      <x:c r="J49" s="18" t="str">
        <x:v>tonnes</x:v>
      </x:c>
      <x:c r="K49" s="18" t="n">
        <x:v>1.1</x:v>
      </x:c>
      <x:c r="L49" s="18"/>
      <x:c r="M49" s="6" t="str">
        <x:v>Ministry of Agriculture and Rural Affairs of the PRC</x:v>
      </x:c>
      <x:c r="N49" s="6" t="str">
        <x:v>https://yyj.moa.gov.cn/gzdt/202507/t20250707_6475475.htm</x:v>
      </x:c>
      <x:c r="O49" s="6" t="str">
        <x:v>a4ad7bbeb571678b5ddc776c9e08013b1e7f921a286da1908273de51b723022b</x:v>
      </x:c>
      <x:c r="P49" s="6" t="str">
        <x:v>2026-07-23</x:v>
      </x:c>
      <x:c r="Q49" s="6" t="str">
        <x:v>经过处理的数据（公开来源）</x:v>
      </x:c>
      <x:c r="R49" s="6" t="str">
        <x:v>deterministic table-row regex over official HTML text</x:v>
      </x:c>
    </x:row>
    <x:row r="50" ht="26" customHeight="1">
      <x:c r="A50" s="6" t="n">
        <x:v>2024</x:v>
      </x:c>
      <x:c r="B50" s="6" t="str">
        <x:v>domestic_capture_by_species</x:v>
      </x:c>
      <x:c r="C50" s="6" t="str">
        <x:v>domestic_capture_shellfish</x:v>
      </x:c>
      <x:c r="D50" s="6" t="str">
        <x:v>国内捕捞贝类</x:v>
      </x:c>
      <x:c r="E50" s="6" t="str">
        <x:v>marine</x:v>
      </x:c>
      <x:c r="F50" s="18" t="n">
        <x:v>35.7</x:v>
      </x:c>
      <x:c r="G50" s="18" t="str">
        <x:v>万吨</x:v>
      </x:c>
      <x:c r="H50" s="18" t="n">
        <x:v>10000</x:v>
      </x:c>
      <x:c r="I50" s="18" t="n">
        <x:v>357000</x:v>
      </x:c>
      <x:c r="J50" s="18" t="str">
        <x:v>tonnes</x:v>
      </x:c>
      <x:c r="K50" s="18" t="n">
        <x:v>1.09</x:v>
      </x:c>
      <x:c r="L50" s="18"/>
      <x:c r="M50" s="6" t="str">
        <x:v>Ministry of Agriculture and Rural Affairs of the PRC</x:v>
      </x:c>
      <x:c r="N50" s="6" t="str">
        <x:v>https://yyj.moa.gov.cn/gzdt/202507/t20250707_6475475.htm</x:v>
      </x:c>
      <x:c r="O50" s="6" t="str">
        <x:v>a4ad7bbeb571678b5ddc776c9e08013b1e7f921a286da1908273de51b723022b</x:v>
      </x:c>
      <x:c r="P50" s="6" t="str">
        <x:v>2026-07-23</x:v>
      </x:c>
      <x:c r="Q50" s="6" t="str">
        <x:v>经过处理的数据（公开来源）</x:v>
      </x:c>
      <x:c r="R50" s="6" t="str">
        <x:v>deterministic table-row regex over official HTML text</x:v>
      </x:c>
    </x:row>
    <x:row r="51" ht="26" customHeight="1">
      <x:c r="A51" s="6" t="n">
        <x:v>2024</x:v>
      </x:c>
      <x:c r="B51" s="6" t="str">
        <x:v>domestic_capture_by_species</x:v>
      </x:c>
      <x:c r="C51" s="6" t="str">
        <x:v>domestic_capture_shellfish</x:v>
      </x:c>
      <x:c r="D51" s="6" t="str">
        <x:v>国内捕捞贝类</x:v>
      </x:c>
      <x:c r="E51" s="6" t="str">
        <x:v>total</x:v>
      </x:c>
      <x:c r="F51" s="18" t="n">
        <x:v>48.53</x:v>
      </x:c>
      <x:c r="G51" s="18" t="str">
        <x:v>万吨</x:v>
      </x:c>
      <x:c r="H51" s="18" t="n">
        <x:v>10000</x:v>
      </x:c>
      <x:c r="I51" s="18" t="n">
        <x:v>485300</x:v>
      </x:c>
      <x:c r="J51" s="18" t="str">
        <x:v>tonnes</x:v>
      </x:c>
      <x:c r="K51" s="18"/>
      <x:c r="L51" s="18"/>
      <x:c r="M51" s="6" t="str">
        <x:v>Ministry of Agriculture and Rural Affairs of the PRC</x:v>
      </x:c>
      <x:c r="N51" s="6" t="str">
        <x:v>https://yyj.moa.gov.cn/gzdt/202507/t20250707_6475475.htm</x:v>
      </x:c>
      <x:c r="O51" s="6" t="str">
        <x:v>a4ad7bbeb571678b5ddc776c9e08013b1e7f921a286da1908273de51b723022b</x:v>
      </x:c>
      <x:c r="P51" s="6" t="str">
        <x:v>2026-07-23</x:v>
      </x:c>
      <x:c r="Q51" s="6" t="str">
        <x:v>经过处理的数据（公开来源）</x:v>
      </x:c>
      <x:c r="R51" s="6" t="str">
        <x:v>deterministic table-row regex over official HTML text</x:v>
      </x:c>
    </x:row>
    <x:row r="52" ht="26" customHeight="1">
      <x:c r="A52" s="6" t="n">
        <x:v>2024</x:v>
      </x:c>
      <x:c r="B52" s="6" t="str">
        <x:v>economy</x:v>
      </x:c>
      <x:c r="C52" s="6" t="str">
        <x:v>aquatic_seed_output</x:v>
      </x:c>
      <x:c r="D52" s="6" t="str">
        <x:v>水产苗种产值</x:v>
      </x:c>
      <x:c r="E52" s="6" t="str">
        <x:v>total</x:v>
      </x:c>
      <x:c r="F52" s="18" t="n">
        <x:v>917.83</x:v>
      </x:c>
      <x:c r="G52" s="18" t="str">
        <x:v>亿元</x:v>
      </x:c>
      <x:c r="H52" s="18" t="n">
        <x:v>1</x:v>
      </x:c>
      <x:c r="I52" s="18" t="n">
        <x:v>917.83</x:v>
      </x:c>
      <x:c r="J52" s="18" t="str">
        <x:v>100 million RMB</x:v>
      </x:c>
      <x:c r="K52" s="18"/>
      <x:c r="L52" s="18"/>
      <x:c r="M52" s="6" t="str">
        <x:v>Ministry of Agriculture and Rural Affairs of the PRC</x:v>
      </x:c>
      <x:c r="N52" s="6" t="str">
        <x:v>https://yyj.moa.gov.cn/gzdt/202507/t20250707_6475475.htm</x:v>
      </x:c>
      <x:c r="O52" s="6" t="str">
        <x:v>a4ad7bbeb571678b5ddc776c9e08013b1e7f921a286da1908273de51b723022b</x:v>
      </x:c>
      <x:c r="P52" s="6" t="str">
        <x:v>2026-07-23</x:v>
      </x:c>
      <x:c r="Q52" s="6" t="str">
        <x:v>经过处理的数据（公开来源）</x:v>
      </x:c>
      <x:c r="R52" s="6" t="str">
        <x:v>deterministic regex over official HTML text</x:v>
      </x:c>
    </x:row>
    <x:row r="53" ht="26" customHeight="1">
      <x:c r="A53" s="6" t="n">
        <x:v>2024</x:v>
      </x:c>
      <x:c r="B53" s="6" t="str">
        <x:v>economy</x:v>
      </x:c>
      <x:c r="C53" s="6" t="str">
        <x:v>fishery_circulation_services_output</x:v>
      </x:c>
      <x:c r="D53" s="6" t="str">
        <x:v>渔业流通和服务业产值</x:v>
      </x:c>
      <x:c r="E53" s="6" t="str">
        <x:v>total</x:v>
      </x:c>
      <x:c r="F53" s="18" t="n">
        <x:v>10026.65</x:v>
      </x:c>
      <x:c r="G53" s="18" t="str">
        <x:v>亿元</x:v>
      </x:c>
      <x:c r="H53" s="18" t="n">
        <x:v>1</x:v>
      </x:c>
      <x:c r="I53" s="18" t="n">
        <x:v>10026.65</x:v>
      </x:c>
      <x:c r="J53" s="18" t="str">
        <x:v>100 million RMB</x:v>
      </x:c>
      <x:c r="K53" s="18"/>
      <x:c r="L53" s="18"/>
      <x:c r="M53" s="6" t="str">
        <x:v>Ministry of Agriculture and Rural Affairs of the PRC</x:v>
      </x:c>
      <x:c r="N53" s="6" t="str">
        <x:v>https://yyj.moa.gov.cn/gzdt/202507/t20250707_6475475.htm</x:v>
      </x:c>
      <x:c r="O53" s="6" t="str">
        <x:v>a4ad7bbeb571678b5ddc776c9e08013b1e7f921a286da1908273de51b723022b</x:v>
      </x:c>
      <x:c r="P53" s="6" t="str">
        <x:v>2026-07-23</x:v>
      </x:c>
      <x:c r="Q53" s="6" t="str">
        <x:v>经过处理的数据（公开来源）</x:v>
      </x:c>
      <x:c r="R53" s="6" t="str">
        <x:v>deterministic regex over official HTML text</x:v>
      </x:c>
    </x:row>
    <x:row r="54" ht="26" customHeight="1">
      <x:c r="A54" s="6" t="n">
        <x:v>2024</x:v>
      </x:c>
      <x:c r="B54" s="6" t="str">
        <x:v>economy</x:v>
      </x:c>
      <x:c r="C54" s="6" t="str">
        <x:v>fishery_industry_construction_output</x:v>
      </x:c>
      <x:c r="D54" s="6" t="str">
        <x:v>渔业工业和建筑业产值</x:v>
      </x:c>
      <x:c r="E54" s="6" t="str">
        <x:v>total</x:v>
      </x:c>
      <x:c r="F54" s="18" t="n">
        <x:v>7390.84</x:v>
      </x:c>
      <x:c r="G54" s="18" t="str">
        <x:v>亿元</x:v>
      </x:c>
      <x:c r="H54" s="18" t="n">
        <x:v>1</x:v>
      </x:c>
      <x:c r="I54" s="18" t="n">
        <x:v>7390.84</x:v>
      </x:c>
      <x:c r="J54" s="18" t="str">
        <x:v>100 million RMB</x:v>
      </x:c>
      <x:c r="K54" s="18"/>
      <x:c r="L54" s="18"/>
      <x:c r="M54" s="6" t="str">
        <x:v>Ministry of Agriculture and Rural Affairs of the PRC</x:v>
      </x:c>
      <x:c r="N54" s="6" t="str">
        <x:v>https://yyj.moa.gov.cn/gzdt/202507/t20250707_6475475.htm</x:v>
      </x:c>
      <x:c r="O54" s="6" t="str">
        <x:v>a4ad7bbeb571678b5ddc776c9e08013b1e7f921a286da1908273de51b723022b</x:v>
      </x:c>
      <x:c r="P54" s="6" t="str">
        <x:v>2026-07-23</x:v>
      </x:c>
      <x:c r="Q54" s="6" t="str">
        <x:v>经过处理的数据（公开来源）</x:v>
      </x:c>
      <x:c r="R54" s="6" t="str">
        <x:v>deterministic regex over official HTML text</x:v>
      </x:c>
    </x:row>
    <x:row r="55" ht="26" customHeight="1">
      <x:c r="A55" s="6" t="n">
        <x:v>2024</x:v>
      </x:c>
      <x:c r="B55" s="6" t="str">
        <x:v>economy</x:v>
      </x:c>
      <x:c r="C55" s="6" t="str">
        <x:v>fishery_output</x:v>
      </x:c>
      <x:c r="D55" s="6" t="str">
        <x:v>渔业产值</x:v>
      </x:c>
      <x:c r="E55" s="6" t="str">
        <x:v>total</x:v>
      </x:c>
      <x:c r="F55" s="18" t="n">
        <x:v>16754.8</x:v>
      </x:c>
      <x:c r="G55" s="18" t="str">
        <x:v>亿元</x:v>
      </x:c>
      <x:c r="H55" s="18" t="n">
        <x:v>1</x:v>
      </x:c>
      <x:c r="I55" s="18" t="n">
        <x:v>16754.8</x:v>
      </x:c>
      <x:c r="J55" s="18" t="str">
        <x:v>100 million RMB</x:v>
      </x:c>
      <x:c r="K55" s="18"/>
      <x:c r="L55" s="18"/>
      <x:c r="M55" s="6" t="str">
        <x:v>Ministry of Agriculture and Rural Affairs of the PRC</x:v>
      </x:c>
      <x:c r="N55" s="6" t="str">
        <x:v>https://yyj.moa.gov.cn/gzdt/202507/t20250707_6475475.htm</x:v>
      </x:c>
      <x:c r="O55" s="6" t="str">
        <x:v>a4ad7bbeb571678b5ddc776c9e08013b1e7f921a286da1908273de51b723022b</x:v>
      </x:c>
      <x:c r="P55" s="6" t="str">
        <x:v>2026-07-23</x:v>
      </x:c>
      <x:c r="Q55" s="6" t="str">
        <x:v>经过处理的数据（公开来源）</x:v>
      </x:c>
      <x:c r="R55" s="6" t="str">
        <x:v>deterministic regex over official HTML text</x:v>
      </x:c>
    </x:row>
    <x:row r="56" ht="26" customHeight="1">
      <x:c r="A56" s="6" t="n">
        <x:v>2024</x:v>
      </x:c>
      <x:c r="B56" s="6" t="str">
        <x:v>economy</x:v>
      </x:c>
      <x:c r="C56" s="6" t="str">
        <x:v>freshwater_aquaculture_output</x:v>
      </x:c>
      <x:c r="D56" s="6" t="str">
        <x:v>淡水养殖产值</x:v>
      </x:c>
      <x:c r="E56" s="6" t="str">
        <x:v>freshwater</x:v>
      </x:c>
      <x:c r="F56" s="18" t="n">
        <x:v>8786.65</x:v>
      </x:c>
      <x:c r="G56" s="18" t="str">
        <x:v>亿元</x:v>
      </x:c>
      <x:c r="H56" s="18" t="n">
        <x:v>1</x:v>
      </x:c>
      <x:c r="I56" s="18" t="n">
        <x:v>8786.65</x:v>
      </x:c>
      <x:c r="J56" s="18" t="str">
        <x:v>100 million RMB</x:v>
      </x:c>
      <x:c r="K56" s="18"/>
      <x:c r="L56" s="18"/>
      <x:c r="M56" s="6" t="str">
        <x:v>Ministry of Agriculture and Rural Affairs of the PRC</x:v>
      </x:c>
      <x:c r="N56" s="6" t="str">
        <x:v>https://yyj.moa.gov.cn/gzdt/202507/t20250707_6475475.htm</x:v>
      </x:c>
      <x:c r="O56" s="6" t="str">
        <x:v>a4ad7bbeb571678b5ddc776c9e08013b1e7f921a286da1908273de51b723022b</x:v>
      </x:c>
      <x:c r="P56" s="6" t="str">
        <x:v>2026-07-23</x:v>
      </x:c>
      <x:c r="Q56" s="6" t="str">
        <x:v>经过处理的数据（公开来源）</x:v>
      </x:c>
      <x:c r="R56" s="6" t="str">
        <x:v>deterministic regex over official HTML text</x:v>
      </x:c>
    </x:row>
    <x:row r="57" ht="26" customHeight="1">
      <x:c r="A57" s="6" t="n">
        <x:v>2024</x:v>
      </x:c>
      <x:c r="B57" s="6" t="str">
        <x:v>economy</x:v>
      </x:c>
      <x:c r="C57" s="6" t="str">
        <x:v>freshwater_capture_output</x:v>
      </x:c>
      <x:c r="D57" s="6" t="str">
        <x:v>淡水捕捞产值</x:v>
      </x:c>
      <x:c r="E57" s="6" t="str">
        <x:v>freshwater</x:v>
      </x:c>
      <x:c r="F57" s="18" t="n">
        <x:v>332.29</x:v>
      </x:c>
      <x:c r="G57" s="18" t="str">
        <x:v>亿元</x:v>
      </x:c>
      <x:c r="H57" s="18" t="n">
        <x:v>1</x:v>
      </x:c>
      <x:c r="I57" s="18" t="n">
        <x:v>332.29</x:v>
      </x:c>
      <x:c r="J57" s="18" t="str">
        <x:v>100 million RMB</x:v>
      </x:c>
      <x:c r="K57" s="18"/>
      <x:c r="L57" s="18"/>
      <x:c r="M57" s="6" t="str">
        <x:v>Ministry of Agriculture and Rural Affairs of the PRC</x:v>
      </x:c>
      <x:c r="N57" s="6" t="str">
        <x:v>https://yyj.moa.gov.cn/gzdt/202507/t20250707_6475475.htm</x:v>
      </x:c>
      <x:c r="O57" s="6" t="str">
        <x:v>a4ad7bbeb571678b5ddc776c9e08013b1e7f921a286da1908273de51b723022b</x:v>
      </x:c>
      <x:c r="P57" s="6" t="str">
        <x:v>2026-07-23</x:v>
      </x:c>
      <x:c r="Q57" s="6" t="str">
        <x:v>经过处理的数据（公开来源）</x:v>
      </x:c>
      <x:c r="R57" s="6" t="str">
        <x:v>deterministic regex over official HTML text</x:v>
      </x:c>
    </x:row>
    <x:row r="58" ht="26" customHeight="1">
      <x:c r="A58" s="6" t="n">
        <x:v>2024</x:v>
      </x:c>
      <x:c r="B58" s="6" t="str">
        <x:v>economy</x:v>
      </x:c>
      <x:c r="C58" s="6" t="str">
        <x:v>marine_aquaculture_output</x:v>
      </x:c>
      <x:c r="D58" s="6" t="str">
        <x:v>海水养殖产值</x:v>
      </x:c>
      <x:c r="E58" s="6" t="str">
        <x:v>marine</x:v>
      </x:c>
      <x:c r="F58" s="18" t="n">
        <x:v>5034.38</x:v>
      </x:c>
      <x:c r="G58" s="18" t="str">
        <x:v>亿元</x:v>
      </x:c>
      <x:c r="H58" s="18" t="n">
        <x:v>1</x:v>
      </x:c>
      <x:c r="I58" s="18" t="n">
        <x:v>5034.38</x:v>
      </x:c>
      <x:c r="J58" s="18" t="str">
        <x:v>100 million RMB</x:v>
      </x:c>
      <x:c r="K58" s="18"/>
      <x:c r="L58" s="18"/>
      <x:c r="M58" s="6" t="str">
        <x:v>Ministry of Agriculture and Rural Affairs of the PRC</x:v>
      </x:c>
      <x:c r="N58" s="6" t="str">
        <x:v>https://yyj.moa.gov.cn/gzdt/202507/t20250707_6475475.htm</x:v>
      </x:c>
      <x:c r="O58" s="6" t="str">
        <x:v>a4ad7bbeb571678b5ddc776c9e08013b1e7f921a286da1908273de51b723022b</x:v>
      </x:c>
      <x:c r="P58" s="6" t="str">
        <x:v>2026-07-23</x:v>
      </x:c>
      <x:c r="Q58" s="6" t="str">
        <x:v>经过处理的数据（公开来源）</x:v>
      </x:c>
      <x:c r="R58" s="6" t="str">
        <x:v>deterministic regex over official HTML text</x:v>
      </x:c>
    </x:row>
    <x:row r="59" ht="26" customHeight="1">
      <x:c r="A59" s="6" t="n">
        <x:v>2024</x:v>
      </x:c>
      <x:c r="B59" s="6" t="str">
        <x:v>economy</x:v>
      </x:c>
      <x:c r="C59" s="6" t="str">
        <x:v>marine_capture_output</x:v>
      </x:c>
      <x:c r="D59" s="6" t="str">
        <x:v>海洋捕捞产值</x:v>
      </x:c>
      <x:c r="E59" s="6" t="str">
        <x:v>marine</x:v>
      </x:c>
      <x:c r="F59" s="18" t="n">
        <x:v>2601.48</x:v>
      </x:c>
      <x:c r="G59" s="18" t="str">
        <x:v>亿元</x:v>
      </x:c>
      <x:c r="H59" s="18" t="n">
        <x:v>1</x:v>
      </x:c>
      <x:c r="I59" s="18" t="n">
        <x:v>2601.48</x:v>
      </x:c>
      <x:c r="J59" s="18" t="str">
        <x:v>100 million RMB</x:v>
      </x:c>
      <x:c r="K59" s="18"/>
      <x:c r="L59" s="18"/>
      <x:c r="M59" s="6" t="str">
        <x:v>Ministry of Agriculture and Rural Affairs of the PRC</x:v>
      </x:c>
      <x:c r="N59" s="6" t="str">
        <x:v>https://yyj.moa.gov.cn/gzdt/202507/t20250707_6475475.htm</x:v>
      </x:c>
      <x:c r="O59" s="6" t="str">
        <x:v>a4ad7bbeb571678b5ddc776c9e08013b1e7f921a286da1908273de51b723022b</x:v>
      </x:c>
      <x:c r="P59" s="6" t="str">
        <x:v>2026-07-23</x:v>
      </x:c>
      <x:c r="Q59" s="6" t="str">
        <x:v>经过处理的数据（公开来源）</x:v>
      </x:c>
      <x:c r="R59" s="6" t="str">
        <x:v>deterministic regex over official HTML text</x:v>
      </x:c>
    </x:row>
    <x:row r="60" ht="26" customHeight="1">
      <x:c r="A60" s="6" t="n">
        <x:v>2024</x:v>
      </x:c>
      <x:c r="B60" s="6" t="str">
        <x:v>economy</x:v>
      </x:c>
      <x:c r="C60" s="6" t="str">
        <x:v>recreational_fishing_output</x:v>
      </x:c>
      <x:c r="D60" s="6" t="str">
        <x:v>休闲渔业产值</x:v>
      </x:c>
      <x:c r="E60" s="6" t="str">
        <x:v>total</x:v>
      </x:c>
      <x:c r="F60" s="18" t="n">
        <x:v>988.6</x:v>
      </x:c>
      <x:c r="G60" s="18" t="str">
        <x:v>亿元</x:v>
      </x:c>
      <x:c r="H60" s="18" t="n">
        <x:v>1</x:v>
      </x:c>
      <x:c r="I60" s="18" t="n">
        <x:v>988.6</x:v>
      </x:c>
      <x:c r="J60" s="18" t="str">
        <x:v>100 million RMB</x:v>
      </x:c>
      <x:c r="K60" s="18" t="n">
        <x:v>7.05</x:v>
      </x:c>
      <x:c r="L60" s="18"/>
      <x:c r="M60" s="6" t="str">
        <x:v>Ministry of Agriculture and Rural Affairs of the PRC</x:v>
      </x:c>
      <x:c r="N60" s="6" t="str">
        <x:v>https://yyj.moa.gov.cn/gzdt/202507/t20250707_6475475.htm</x:v>
      </x:c>
      <x:c r="O60" s="6" t="str">
        <x:v>a4ad7bbeb571678b5ddc776c9e08013b1e7f921a286da1908273de51b723022b</x:v>
      </x:c>
      <x:c r="P60" s="6" t="str">
        <x:v>2026-07-23</x:v>
      </x:c>
      <x:c r="Q60" s="6" t="str">
        <x:v>经过处理的数据（公开来源）</x:v>
      </x:c>
      <x:c r="R60" s="6" t="str">
        <x:v>deterministic regex over official HTML text</x:v>
      </x:c>
    </x:row>
    <x:row r="61" ht="26" customHeight="1">
      <x:c r="A61" s="6" t="n">
        <x:v>2024</x:v>
      </x:c>
      <x:c r="B61" s="6" t="str">
        <x:v>economy</x:v>
      </x:c>
      <x:c r="C61" s="6" t="str">
        <x:v>total_fishery_economic_output</x:v>
      </x:c>
      <x:c r="D61" s="6" t="str">
        <x:v>全社会渔业经济总产值</x:v>
      </x:c>
      <x:c r="E61" s="6" t="str">
        <x:v>total</x:v>
      </x:c>
      <x:c r="F61" s="18" t="n">
        <x:v>34172.29</x:v>
      </x:c>
      <x:c r="G61" s="18" t="str">
        <x:v>亿元</x:v>
      </x:c>
      <x:c r="H61" s="18" t="n">
        <x:v>1</x:v>
      </x:c>
      <x:c r="I61" s="18" t="n">
        <x:v>34172.29</x:v>
      </x:c>
      <x:c r="J61" s="18" t="str">
        <x:v>100 million RMB</x:v>
      </x:c>
      <x:c r="K61" s="18"/>
      <x:c r="L61" s="18"/>
      <x:c r="M61" s="6" t="str">
        <x:v>Ministry of Agriculture and Rural Affairs of the PRC</x:v>
      </x:c>
      <x:c r="N61" s="6" t="str">
        <x:v>https://yyj.moa.gov.cn/gzdt/202507/t20250707_6475475.htm</x:v>
      </x:c>
      <x:c r="O61" s="6" t="str">
        <x:v>a4ad7bbeb571678b5ddc776c9e08013b1e7f921a286da1908273de51b723022b</x:v>
      </x:c>
      <x:c r="P61" s="6" t="str">
        <x:v>2026-07-23</x:v>
      </x:c>
      <x:c r="Q61" s="6" t="str">
        <x:v>经过处理的数据（公开来源）</x:v>
      </x:c>
      <x:c r="R61" s="6" t="str">
        <x:v>deterministic regex over official HTML text</x:v>
      </x:c>
    </x:row>
    <x:row r="62" ht="26" customHeight="1">
      <x:c r="A62" s="6" t="n">
        <x:v>2024</x:v>
      </x:c>
      <x:c r="B62" s="6" t="str">
        <x:v>fleet</x:v>
      </x:c>
      <x:c r="C62" s="6" t="str">
        <x:v>vessel_count</x:v>
      </x:c>
      <x:c r="D62" s="6" t="str">
        <x:v>渔船数量</x:v>
      </x:c>
      <x:c r="E62" s="6" t="str">
        <x:v>auxiliary</x:v>
      </x:c>
      <x:c r="F62" s="18" t="n">
        <x:v>1.73</x:v>
      </x:c>
      <x:c r="G62" s="18" t="str">
        <x:v>万艘</x:v>
      </x:c>
      <x:c r="H62" s="18" t="n">
        <x:v>10000</x:v>
      </x:c>
      <x:c r="I62" s="18" t="n">
        <x:v>17300</x:v>
      </x:c>
      <x:c r="J62" s="18" t="str">
        <x:v>count</x:v>
      </x:c>
      <x:c r="K62" s="18"/>
      <x:c r="L62" s="18"/>
      <x:c r="M62" s="6" t="str">
        <x:v>Ministry of Agriculture and Rural Affairs of the PRC</x:v>
      </x:c>
      <x:c r="N62" s="6" t="str">
        <x:v>https://yyj.moa.gov.cn/gzdt/202507/t20250707_6475475.htm</x:v>
      </x:c>
      <x:c r="O62" s="6" t="str">
        <x:v>a4ad7bbeb571678b5ddc776c9e08013b1e7f921a286da1908273de51b723022b</x:v>
      </x:c>
      <x:c r="P62" s="6" t="str">
        <x:v>2026-07-23</x:v>
      </x:c>
      <x:c r="Q62" s="6" t="str">
        <x:v>经过处理的数据（公开来源）</x:v>
      </x:c>
      <x:c r="R62" s="6" t="str">
        <x:v>deterministic regex over official HTML text</x:v>
      </x:c>
    </x:row>
    <x:row r="63" ht="26" customHeight="1">
      <x:c r="A63" s="6" t="n">
        <x:v>2024</x:v>
      </x:c>
      <x:c r="B63" s="6" t="str">
        <x:v>fleet</x:v>
      </x:c>
      <x:c r="C63" s="6" t="str">
        <x:v>vessel_count</x:v>
      </x:c>
      <x:c r="D63" s="6" t="str">
        <x:v>渔船数量</x:v>
      </x:c>
      <x:c r="E63" s="6" t="str">
        <x:v>motorized</x:v>
      </x:c>
      <x:c r="F63" s="18" t="n">
        <x:v>33.54</x:v>
      </x:c>
      <x:c r="G63" s="18" t="str">
        <x:v>万艘</x:v>
      </x:c>
      <x:c r="H63" s="18" t="n">
        <x:v>10000</x:v>
      </x:c>
      <x:c r="I63" s="18" t="n">
        <x:v>335400</x:v>
      </x:c>
      <x:c r="J63" s="18" t="str">
        <x:v>count</x:v>
      </x:c>
      <x:c r="K63" s="18"/>
      <x:c r="L63" s="18"/>
      <x:c r="M63" s="6" t="str">
        <x:v>Ministry of Agriculture and Rural Affairs of the PRC</x:v>
      </x:c>
      <x:c r="N63" s="6" t="str">
        <x:v>https://yyj.moa.gov.cn/gzdt/202507/t20250707_6475475.htm</x:v>
      </x:c>
      <x:c r="O63" s="6" t="str">
        <x:v>a4ad7bbeb571678b5ddc776c9e08013b1e7f921a286da1908273de51b723022b</x:v>
      </x:c>
      <x:c r="P63" s="6" t="str">
        <x:v>2026-07-23</x:v>
      </x:c>
      <x:c r="Q63" s="6" t="str">
        <x:v>经过处理的数据（公开来源）</x:v>
      </x:c>
      <x:c r="R63" s="6" t="str">
        <x:v>deterministic regex over official HTML text</x:v>
      </x:c>
    </x:row>
    <x:row r="64" ht="26" customHeight="1">
      <x:c r="A64" s="6" t="n">
        <x:v>2024</x:v>
      </x:c>
      <x:c r="B64" s="6" t="str">
        <x:v>fleet</x:v>
      </x:c>
      <x:c r="C64" s="6" t="str">
        <x:v>vessel_count</x:v>
      </x:c>
      <x:c r="D64" s="6" t="str">
        <x:v>渔船数量</x:v>
      </x:c>
      <x:c r="E64" s="6" t="str">
        <x:v>non_motorized</x:v>
      </x:c>
      <x:c r="F64" s="18" t="n">
        <x:v>15.03</x:v>
      </x:c>
      <x:c r="G64" s="18" t="str">
        <x:v>万艘</x:v>
      </x:c>
      <x:c r="H64" s="18" t="n">
        <x:v>10000</x:v>
      </x:c>
      <x:c r="I64" s="18" t="n">
        <x:v>150300</x:v>
      </x:c>
      <x:c r="J64" s="18" t="str">
        <x:v>count</x:v>
      </x:c>
      <x:c r="K64" s="18"/>
      <x:c r="L64" s="18"/>
      <x:c r="M64" s="6" t="str">
        <x:v>Ministry of Agriculture and Rural Affairs of the PRC</x:v>
      </x:c>
      <x:c r="N64" s="6" t="str">
        <x:v>https://yyj.moa.gov.cn/gzdt/202507/t20250707_6475475.htm</x:v>
      </x:c>
      <x:c r="O64" s="6" t="str">
        <x:v>a4ad7bbeb571678b5ddc776c9e08013b1e7f921a286da1908273de51b723022b</x:v>
      </x:c>
      <x:c r="P64" s="6" t="str">
        <x:v>2026-07-23</x:v>
      </x:c>
      <x:c r="Q64" s="6" t="str">
        <x:v>经过处理的数据（公开来源）</x:v>
      </x:c>
      <x:c r="R64" s="6" t="str">
        <x:v>deterministic regex over official HTML text</x:v>
      </x:c>
    </x:row>
    <x:row r="65" ht="26" customHeight="1">
      <x:c r="A65" s="6" t="n">
        <x:v>2024</x:v>
      </x:c>
      <x:c r="B65" s="6" t="str">
        <x:v>fleet</x:v>
      </x:c>
      <x:c r="C65" s="6" t="str">
        <x:v>vessel_count</x:v>
      </x:c>
      <x:c r="D65" s="6" t="str">
        <x:v>渔船数量</x:v>
      </x:c>
      <x:c r="E65" s="6" t="str">
        <x:v>production</x:v>
      </x:c>
      <x:c r="F65" s="18" t="n">
        <x:v>31.81</x:v>
      </x:c>
      <x:c r="G65" s="18" t="str">
        <x:v>万艘</x:v>
      </x:c>
      <x:c r="H65" s="18" t="n">
        <x:v>10000</x:v>
      </x:c>
      <x:c r="I65" s="18" t="n">
        <x:v>318100</x:v>
      </x:c>
      <x:c r="J65" s="18" t="str">
        <x:v>count</x:v>
      </x:c>
      <x:c r="K65" s="18"/>
      <x:c r="L65" s="18"/>
      <x:c r="M65" s="6" t="str">
        <x:v>Ministry of Agriculture and Rural Affairs of the PRC</x:v>
      </x:c>
      <x:c r="N65" s="6" t="str">
        <x:v>https://yyj.moa.gov.cn/gzdt/202507/t20250707_6475475.htm</x:v>
      </x:c>
      <x:c r="O65" s="6" t="str">
        <x:v>a4ad7bbeb571678b5ddc776c9e08013b1e7f921a286da1908273de51b723022b</x:v>
      </x:c>
      <x:c r="P65" s="6" t="str">
        <x:v>2026-07-23</x:v>
      </x:c>
      <x:c r="Q65" s="6" t="str">
        <x:v>经过处理的数据（公开来源）</x:v>
      </x:c>
      <x:c r="R65" s="6" t="str">
        <x:v>deterministic regex over official HTML text</x:v>
      </x:c>
    </x:row>
    <x:row r="66" ht="26" customHeight="1">
      <x:c r="A66" s="6" t="n">
        <x:v>2024</x:v>
      </x:c>
      <x:c r="B66" s="6" t="str">
        <x:v>fleet</x:v>
      </x:c>
      <x:c r="C66" s="6" t="str">
        <x:v>vessel_count</x:v>
      </x:c>
      <x:c r="D66" s="6" t="str">
        <x:v>渔船数量</x:v>
      </x:c>
      <x:c r="E66" s="6" t="str">
        <x:v>total</x:v>
      </x:c>
      <x:c r="F66" s="18" t="n">
        <x:v>48.57</x:v>
      </x:c>
      <x:c r="G66" s="18" t="str">
        <x:v>万艘</x:v>
      </x:c>
      <x:c r="H66" s="18" t="n">
        <x:v>10000</x:v>
      </x:c>
      <x:c r="I66" s="18" t="n">
        <x:v>485700</x:v>
      </x:c>
      <x:c r="J66" s="18" t="str">
        <x:v>count</x:v>
      </x:c>
      <x:c r="K66" s="18"/>
      <x:c r="L66" s="18"/>
      <x:c r="M66" s="6" t="str">
        <x:v>Ministry of Agriculture and Rural Affairs of the PRC</x:v>
      </x:c>
      <x:c r="N66" s="6" t="str">
        <x:v>https://yyj.moa.gov.cn/gzdt/202507/t20250707_6475475.htm</x:v>
      </x:c>
      <x:c r="O66" s="6" t="str">
        <x:v>a4ad7bbeb571678b5ddc776c9e08013b1e7f921a286da1908273de51b723022b</x:v>
      </x:c>
      <x:c r="P66" s="6" t="str">
        <x:v>2026-07-23</x:v>
      </x:c>
      <x:c r="Q66" s="6" t="str">
        <x:v>经过处理的数据（公开来源）</x:v>
      </x:c>
      <x:c r="R66" s="6" t="str">
        <x:v>deterministic regex over official HTML text</x:v>
      </x:c>
    </x:row>
    <x:row r="67" ht="26" customHeight="1">
      <x:c r="A67" s="6" t="n">
        <x:v>2024</x:v>
      </x:c>
      <x:c r="B67" s="6" t="str">
        <x:v>fleet</x:v>
      </x:c>
      <x:c r="C67" s="6" t="str">
        <x:v>vessel_power</x:v>
      </x:c>
      <x:c r="D67" s="6" t="str">
        <x:v>渔船总功率</x:v>
      </x:c>
      <x:c r="E67" s="6" t="str">
        <x:v>auxiliary</x:v>
      </x:c>
      <x:c r="F67" s="18" t="n">
        <x:v>278.57</x:v>
      </x:c>
      <x:c r="G67" s="18" t="str">
        <x:v>万千瓦</x:v>
      </x:c>
      <x:c r="H67" s="18" t="n">
        <x:v>10000</x:v>
      </x:c>
      <x:c r="I67" s="18" t="n">
        <x:v>2785700</x:v>
      </x:c>
      <x:c r="J67" s="18" t="str">
        <x:v>kW</x:v>
      </x:c>
      <x:c r="K67" s="18"/>
      <x:c r="L67" s="18"/>
      <x:c r="M67" s="6" t="str">
        <x:v>Ministry of Agriculture and Rural Affairs of the PRC</x:v>
      </x:c>
      <x:c r="N67" s="6" t="str">
        <x:v>https://yyj.moa.gov.cn/gzdt/202507/t20250707_6475475.htm</x:v>
      </x:c>
      <x:c r="O67" s="6" t="str">
        <x:v>a4ad7bbeb571678b5ddc776c9e08013b1e7f921a286da1908273de51b723022b</x:v>
      </x:c>
      <x:c r="P67" s="6" t="str">
        <x:v>2026-07-23</x:v>
      </x:c>
      <x:c r="Q67" s="6" t="str">
        <x:v>经过处理的数据（公开来源）</x:v>
      </x:c>
      <x:c r="R67" s="6" t="str">
        <x:v>deterministic regex over official HTML text</x:v>
      </x:c>
    </x:row>
    <x:row r="68" ht="26" customHeight="1">
      <x:c r="A68" s="6" t="n">
        <x:v>2024</x:v>
      </x:c>
      <x:c r="B68" s="6" t="str">
        <x:v>fleet</x:v>
      </x:c>
      <x:c r="C68" s="6" t="str">
        <x:v>vessel_power</x:v>
      </x:c>
      <x:c r="D68" s="6" t="str">
        <x:v>渔船总功率</x:v>
      </x:c>
      <x:c r="E68" s="6" t="str">
        <x:v>motorized</x:v>
      </x:c>
      <x:c r="F68" s="18" t="n">
        <x:v>2004.45</x:v>
      </x:c>
      <x:c r="G68" s="18" t="str">
        <x:v>万千瓦</x:v>
      </x:c>
      <x:c r="H68" s="18" t="n">
        <x:v>10000</x:v>
      </x:c>
      <x:c r="I68" s="18" t="n">
        <x:v>20044500</x:v>
      </x:c>
      <x:c r="J68" s="18" t="str">
        <x:v>kW</x:v>
      </x:c>
      <x:c r="K68" s="18"/>
      <x:c r="L68" s="18"/>
      <x:c r="M68" s="6" t="str">
        <x:v>Ministry of Agriculture and Rural Affairs of the PRC</x:v>
      </x:c>
      <x:c r="N68" s="6" t="str">
        <x:v>https://yyj.moa.gov.cn/gzdt/202507/t20250707_6475475.htm</x:v>
      </x:c>
      <x:c r="O68" s="6" t="str">
        <x:v>a4ad7bbeb571678b5ddc776c9e08013b1e7f921a286da1908273de51b723022b</x:v>
      </x:c>
      <x:c r="P68" s="6" t="str">
        <x:v>2026-07-23</x:v>
      </x:c>
      <x:c r="Q68" s="6" t="str">
        <x:v>经过处理的数据（公开来源）</x:v>
      </x:c>
      <x:c r="R68" s="6" t="str">
        <x:v>deterministic regex over official HTML text</x:v>
      </x:c>
    </x:row>
    <x:row r="69" ht="26" customHeight="1">
      <x:c r="A69" s="6" t="n">
        <x:v>2024</x:v>
      </x:c>
      <x:c r="B69" s="6" t="str">
        <x:v>fleet</x:v>
      </x:c>
      <x:c r="C69" s="6" t="str">
        <x:v>vessel_power</x:v>
      </x:c>
      <x:c r="D69" s="6" t="str">
        <x:v>渔船总功率</x:v>
      </x:c>
      <x:c r="E69" s="6" t="str">
        <x:v>production</x:v>
      </x:c>
      <x:c r="F69" s="18" t="n">
        <x:v>1725.88</x:v>
      </x:c>
      <x:c r="G69" s="18" t="str">
        <x:v>万千瓦</x:v>
      </x:c>
      <x:c r="H69" s="18" t="n">
        <x:v>10000</x:v>
      </x:c>
      <x:c r="I69" s="18" t="n">
        <x:v>17258800</x:v>
      </x:c>
      <x:c r="J69" s="18" t="str">
        <x:v>kW</x:v>
      </x:c>
      <x:c r="K69" s="18"/>
      <x:c r="L69" s="18"/>
      <x:c r="M69" s="6" t="str">
        <x:v>Ministry of Agriculture and Rural Affairs of the PRC</x:v>
      </x:c>
      <x:c r="N69" s="6" t="str">
        <x:v>https://yyj.moa.gov.cn/gzdt/202507/t20250707_6475475.htm</x:v>
      </x:c>
      <x:c r="O69" s="6" t="str">
        <x:v>a4ad7bbeb571678b5ddc776c9e08013b1e7f921a286da1908273de51b723022b</x:v>
      </x:c>
      <x:c r="P69" s="6" t="str">
        <x:v>2026-07-23</x:v>
      </x:c>
      <x:c r="Q69" s="6" t="str">
        <x:v>经过处理的数据（公开来源）</x:v>
      </x:c>
      <x:c r="R69" s="6" t="str">
        <x:v>deterministic regex over official HTML text</x:v>
      </x:c>
    </x:row>
    <x:row r="70" ht="26" customHeight="1">
      <x:c r="A70" s="6" t="n">
        <x:v>2024</x:v>
      </x:c>
      <x:c r="B70" s="6" t="str">
        <x:v>fleet</x:v>
      </x:c>
      <x:c r="C70" s="6" t="str">
        <x:v>vessel_tonnage</x:v>
      </x:c>
      <x:c r="D70" s="6" t="str">
        <x:v>渔船总吨位</x:v>
      </x:c>
      <x:c r="E70" s="6" t="str">
        <x:v>auxiliary</x:v>
      </x:c>
      <x:c r="F70" s="18" t="n">
        <x:v>138.72</x:v>
      </x:c>
      <x:c r="G70" s="18" t="str">
        <x:v>万吨</x:v>
      </x:c>
      <x:c r="H70" s="18" t="n">
        <x:v>10000</x:v>
      </x:c>
      <x:c r="I70" s="18" t="n">
        <x:v>1387200</x:v>
      </x:c>
      <x:c r="J70" s="18" t="str">
        <x:v>tonnes</x:v>
      </x:c>
      <x:c r="K70" s="18"/>
      <x:c r="L70" s="18"/>
      <x:c r="M70" s="6" t="str">
        <x:v>Ministry of Agriculture and Rural Affairs of the PRC</x:v>
      </x:c>
      <x:c r="N70" s="6" t="str">
        <x:v>https://yyj.moa.gov.cn/gzdt/202507/t20250707_6475475.htm</x:v>
      </x:c>
      <x:c r="O70" s="6" t="str">
        <x:v>a4ad7bbeb571678b5ddc776c9e08013b1e7f921a286da1908273de51b723022b</x:v>
      </x:c>
      <x:c r="P70" s="6" t="str">
        <x:v>2026-07-23</x:v>
      </x:c>
      <x:c r="Q70" s="6" t="str">
        <x:v>经过处理的数据（公开来源）</x:v>
      </x:c>
      <x:c r="R70" s="6" t="str">
        <x:v>deterministic regex over official HTML text</x:v>
      </x:c>
    </x:row>
    <x:row r="71" ht="26" customHeight="1">
      <x:c r="A71" s="6" t="n">
        <x:v>2024</x:v>
      </x:c>
      <x:c r="B71" s="6" t="str">
        <x:v>fleet</x:v>
      </x:c>
      <x:c r="C71" s="6" t="str">
        <x:v>vessel_tonnage</x:v>
      </x:c>
      <x:c r="D71" s="6" t="str">
        <x:v>渔船总吨位</x:v>
      </x:c>
      <x:c r="E71" s="6" t="str">
        <x:v>motorized</x:v>
      </x:c>
      <x:c r="F71" s="18" t="n">
        <x:v>1102.7</x:v>
      </x:c>
      <x:c r="G71" s="18" t="str">
        <x:v>万吨</x:v>
      </x:c>
      <x:c r="H71" s="18" t="n">
        <x:v>10000</x:v>
      </x:c>
      <x:c r="I71" s="18" t="n">
        <x:v>11027000</x:v>
      </x:c>
      <x:c r="J71" s="18" t="str">
        <x:v>tonnes</x:v>
      </x:c>
      <x:c r="K71" s="18"/>
      <x:c r="L71" s="18"/>
      <x:c r="M71" s="6" t="str">
        <x:v>Ministry of Agriculture and Rural Affairs of the PRC</x:v>
      </x:c>
      <x:c r="N71" s="6" t="str">
        <x:v>https://yyj.moa.gov.cn/gzdt/202507/t20250707_6475475.htm</x:v>
      </x:c>
      <x:c r="O71" s="6" t="str">
        <x:v>a4ad7bbeb571678b5ddc776c9e08013b1e7f921a286da1908273de51b723022b</x:v>
      </x:c>
      <x:c r="P71" s="6" t="str">
        <x:v>2026-07-23</x:v>
      </x:c>
      <x:c r="Q71" s="6" t="str">
        <x:v>经过处理的数据（公开来源）</x:v>
      </x:c>
      <x:c r="R71" s="6" t="str">
        <x:v>deterministic regex over official HTML text</x:v>
      </x:c>
    </x:row>
    <x:row r="72" ht="26" customHeight="1">
      <x:c r="A72" s="6" t="n">
        <x:v>2024</x:v>
      </x:c>
      <x:c r="B72" s="6" t="str">
        <x:v>fleet</x:v>
      </x:c>
      <x:c r="C72" s="6" t="str">
        <x:v>vessel_tonnage</x:v>
      </x:c>
      <x:c r="D72" s="6" t="str">
        <x:v>渔船总吨位</x:v>
      </x:c>
      <x:c r="E72" s="6" t="str">
        <x:v>non_motorized</x:v>
      </x:c>
      <x:c r="F72" s="18" t="n">
        <x:v>22.69</x:v>
      </x:c>
      <x:c r="G72" s="18" t="str">
        <x:v>万吨</x:v>
      </x:c>
      <x:c r="H72" s="18" t="n">
        <x:v>10000</x:v>
      </x:c>
      <x:c r="I72" s="18" t="n">
        <x:v>226900</x:v>
      </x:c>
      <x:c r="J72" s="18" t="str">
        <x:v>tonnes</x:v>
      </x:c>
      <x:c r="K72" s="18"/>
      <x:c r="L72" s="18"/>
      <x:c r="M72" s="6" t="str">
        <x:v>Ministry of Agriculture and Rural Affairs of the PRC</x:v>
      </x:c>
      <x:c r="N72" s="6" t="str">
        <x:v>https://yyj.moa.gov.cn/gzdt/202507/t20250707_6475475.htm</x:v>
      </x:c>
      <x:c r="O72" s="6" t="str">
        <x:v>a4ad7bbeb571678b5ddc776c9e08013b1e7f921a286da1908273de51b723022b</x:v>
      </x:c>
      <x:c r="P72" s="6" t="str">
        <x:v>2026-07-23</x:v>
      </x:c>
      <x:c r="Q72" s="6" t="str">
        <x:v>经过处理的数据（公开来源）</x:v>
      </x:c>
      <x:c r="R72" s="6" t="str">
        <x:v>deterministic regex over official HTML text</x:v>
      </x:c>
    </x:row>
    <x:row r="73" ht="26" customHeight="1">
      <x:c r="A73" s="6" t="n">
        <x:v>2024</x:v>
      </x:c>
      <x:c r="B73" s="6" t="str">
        <x:v>fleet</x:v>
      </x:c>
      <x:c r="C73" s="6" t="str">
        <x:v>vessel_tonnage</x:v>
      </x:c>
      <x:c r="D73" s="6" t="str">
        <x:v>渔船总吨位</x:v>
      </x:c>
      <x:c r="E73" s="6" t="str">
        <x:v>production</x:v>
      </x:c>
      <x:c r="F73" s="18" t="n">
        <x:v>963.99</x:v>
      </x:c>
      <x:c r="G73" s="18" t="str">
        <x:v>万吨</x:v>
      </x:c>
      <x:c r="H73" s="18" t="n">
        <x:v>10000</x:v>
      </x:c>
      <x:c r="I73" s="18" t="n">
        <x:v>9639900</x:v>
      </x:c>
      <x:c r="J73" s="18" t="str">
        <x:v>tonnes</x:v>
      </x:c>
      <x:c r="K73" s="18"/>
      <x:c r="L73" s="18"/>
      <x:c r="M73" s="6" t="str">
        <x:v>Ministry of Agriculture and Rural Affairs of the PRC</x:v>
      </x:c>
      <x:c r="N73" s="6" t="str">
        <x:v>https://yyj.moa.gov.cn/gzdt/202507/t20250707_6475475.htm</x:v>
      </x:c>
      <x:c r="O73" s="6" t="str">
        <x:v>a4ad7bbeb571678b5ddc776c9e08013b1e7f921a286da1908273de51b723022b</x:v>
      </x:c>
      <x:c r="P73" s="6" t="str">
        <x:v>2026-07-23</x:v>
      </x:c>
      <x:c r="Q73" s="6" t="str">
        <x:v>经过处理的数据（公开来源）</x:v>
      </x:c>
      <x:c r="R73" s="6" t="str">
        <x:v>deterministic regex over official HTML text</x:v>
      </x:c>
    </x:row>
    <x:row r="74" ht="26" customHeight="1">
      <x:c r="A74" s="6" t="n">
        <x:v>2024</x:v>
      </x:c>
      <x:c r="B74" s="6" t="str">
        <x:v>fleet</x:v>
      </x:c>
      <x:c r="C74" s="6" t="str">
        <x:v>vessel_tonnage</x:v>
      </x:c>
      <x:c r="D74" s="6" t="str">
        <x:v>渔船总吨位</x:v>
      </x:c>
      <x:c r="E74" s="6" t="str">
        <x:v>total</x:v>
      </x:c>
      <x:c r="F74" s="18" t="n">
        <x:v>1125.39</x:v>
      </x:c>
      <x:c r="G74" s="18" t="str">
        <x:v>万吨</x:v>
      </x:c>
      <x:c r="H74" s="18" t="n">
        <x:v>10000</x:v>
      </x:c>
      <x:c r="I74" s="18" t="n">
        <x:v>11253900.000000002</x:v>
      </x:c>
      <x:c r="J74" s="18" t="str">
        <x:v>tonnes</x:v>
      </x:c>
      <x:c r="K74" s="18"/>
      <x:c r="L74" s="18"/>
      <x:c r="M74" s="6" t="str">
        <x:v>Ministry of Agriculture and Rural Affairs of the PRC</x:v>
      </x:c>
      <x:c r="N74" s="6" t="str">
        <x:v>https://yyj.moa.gov.cn/gzdt/202507/t20250707_6475475.htm</x:v>
      </x:c>
      <x:c r="O74" s="6" t="str">
        <x:v>a4ad7bbeb571678b5ddc776c9e08013b1e7f921a286da1908273de51b723022b</x:v>
      </x:c>
      <x:c r="P74" s="6" t="str">
        <x:v>2026-07-23</x:v>
      </x:c>
      <x:c r="Q74" s="6" t="str">
        <x:v>经过处理的数据（公开来源）</x:v>
      </x:c>
      <x:c r="R74" s="6" t="str">
        <x:v>deterministic regex over official HTML text</x:v>
      </x:c>
    </x:row>
    <x:row r="75" ht="26" customHeight="1">
      <x:c r="A75" s="6" t="n">
        <x:v>2024</x:v>
      </x:c>
      <x:c r="B75" s="6" t="str">
        <x:v>income</x:v>
      </x:c>
      <x:c r="C75" s="6" t="str">
        <x:v>fisher_per_capita_net_income</x:v>
      </x:c>
      <x:c r="D75" s="6" t="str">
        <x:v>渔民人均纯收入</x:v>
      </x:c>
      <x:c r="E75" s="6" t="str">
        <x:v>total</x:v>
      </x:c>
      <x:c r="F75" s="18" t="n">
        <x:v>27131</x:v>
      </x:c>
      <x:c r="G75" s="18" t="str">
        <x:v>元</x:v>
      </x:c>
      <x:c r="H75" s="18" t="n">
        <x:v>1</x:v>
      </x:c>
      <x:c r="I75" s="18" t="n">
        <x:v>27131</x:v>
      </x:c>
      <x:c r="J75" s="18" t="str">
        <x:v>RMB/person/year</x:v>
      </x:c>
      <x:c r="K75" s="18" t="n">
        <x:v>5.25</x:v>
      </x:c>
      <x:c r="L75" s="18"/>
      <x:c r="M75" s="6" t="str">
        <x:v>Ministry of Agriculture and Rural Affairs of the PRC</x:v>
      </x:c>
      <x:c r="N75" s="6" t="str">
        <x:v>https://yyj.moa.gov.cn/gzdt/202507/t20250707_6475475.htm</x:v>
      </x:c>
      <x:c r="O75" s="6" t="str">
        <x:v>a4ad7bbeb571678b5ddc776c9e08013b1e7f921a286da1908273de51b723022b</x:v>
      </x:c>
      <x:c r="P75" s="6" t="str">
        <x:v>2026-07-23</x:v>
      </x:c>
      <x:c r="Q75" s="6" t="str">
        <x:v>经过处理的数据（公开来源）</x:v>
      </x:c>
      <x:c r="R75" s="6" t="str">
        <x:v>deterministic regex over official HTML text</x:v>
      </x:c>
    </x:row>
    <x:row r="76" ht="26" customHeight="1">
      <x:c r="A76" s="6" t="n">
        <x:v>2024</x:v>
      </x:c>
      <x:c r="B76" s="6" t="str">
        <x:v>population</x:v>
      </x:c>
      <x:c r="C76" s="6" t="str">
        <x:v>fishery_population</x:v>
      </x:c>
      <x:c r="D76" s="6" t="str">
        <x:v>渔业人口</x:v>
      </x:c>
      <x:c r="E76" s="6" t="str">
        <x:v>total</x:v>
      </x:c>
      <x:c r="F76" s="18" t="n">
        <x:v>1582.47</x:v>
      </x:c>
      <x:c r="G76" s="18" t="str">
        <x:v>万人</x:v>
      </x:c>
      <x:c r="H76" s="18" t="n">
        <x:v>10000</x:v>
      </x:c>
      <x:c r="I76" s="18" t="n">
        <x:v>15824700</x:v>
      </x:c>
      <x:c r="J76" s="18" t="str">
        <x:v>persons</x:v>
      </x:c>
      <x:c r="K76" s="18" t="n">
        <x:v>-1.01</x:v>
      </x:c>
      <x:c r="L76" s="18"/>
      <x:c r="M76" s="6" t="str">
        <x:v>Ministry of Agriculture and Rural Affairs of the PRC</x:v>
      </x:c>
      <x:c r="N76" s="6" t="str">
        <x:v>https://yyj.moa.gov.cn/gzdt/202507/t20250707_6475475.htm</x:v>
      </x:c>
      <x:c r="O76" s="6" t="str">
        <x:v>a4ad7bbeb571678b5ddc776c9e08013b1e7f921a286da1908273de51b723022b</x:v>
      </x:c>
      <x:c r="P76" s="6" t="str">
        <x:v>2026-07-23</x:v>
      </x:c>
      <x:c r="Q76" s="6" t="str">
        <x:v>经过处理的数据（公开来源）</x:v>
      </x:c>
      <x:c r="R76" s="6" t="str">
        <x:v>deterministic regex over official HTML text</x:v>
      </x:c>
    </x:row>
    <x:row r="77" ht="26" customHeight="1">
      <x:c r="A77" s="6" t="n">
        <x:v>2024</x:v>
      </x:c>
      <x:c r="B77" s="6" t="str">
        <x:v>population</x:v>
      </x:c>
      <x:c r="C77" s="6" t="str">
        <x:v>fishery_workforce</x:v>
      </x:c>
      <x:c r="D77" s="6" t="str">
        <x:v>渔业从业人员</x:v>
      </x:c>
      <x:c r="E77" s="6" t="str">
        <x:v>total</x:v>
      </x:c>
      <x:c r="F77" s="18" t="n">
        <x:v>1174.17</x:v>
      </x:c>
      <x:c r="G77" s="18" t="str">
        <x:v>万人</x:v>
      </x:c>
      <x:c r="H77" s="18" t="n">
        <x:v>10000</x:v>
      </x:c>
      <x:c r="I77" s="18" t="n">
        <x:v>11741700</x:v>
      </x:c>
      <x:c r="J77" s="18" t="str">
        <x:v>persons</x:v>
      </x:c>
      <x:c r="K77" s="18" t="n">
        <x:v>-0.18</x:v>
      </x:c>
      <x:c r="L77" s="18"/>
      <x:c r="M77" s="6" t="str">
        <x:v>Ministry of Agriculture and Rural Affairs of the PRC</x:v>
      </x:c>
      <x:c r="N77" s="6" t="str">
        <x:v>https://yyj.moa.gov.cn/gzdt/202507/t20250707_6475475.htm</x:v>
      </x:c>
      <x:c r="O77" s="6" t="str">
        <x:v>a4ad7bbeb571678b5ddc776c9e08013b1e7f921a286da1908273de51b723022b</x:v>
      </x:c>
      <x:c r="P77" s="6" t="str">
        <x:v>2026-07-23</x:v>
      </x:c>
      <x:c r="Q77" s="6" t="str">
        <x:v>经过处理的数据（公开来源）</x:v>
      </x:c>
      <x:c r="R77" s="6" t="str">
        <x:v>deterministic regex over official HTML text</x:v>
      </x:c>
    </x:row>
    <x:row r="78" ht="26" customHeight="1">
      <x:c r="A78" s="6" t="n">
        <x:v>2024</x:v>
      </x:c>
      <x:c r="B78" s="6" t="str">
        <x:v>population</x:v>
      </x:c>
      <x:c r="C78" s="6" t="str">
        <x:v>traditional_fishers</x:v>
      </x:c>
      <x:c r="D78" s="6" t="str">
        <x:v>传统渔民</x:v>
      </x:c>
      <x:c r="E78" s="6" t="str">
        <x:v>total</x:v>
      </x:c>
      <x:c r="F78" s="18" t="n">
        <x:v>488.08</x:v>
      </x:c>
      <x:c r="G78" s="18" t="str">
        <x:v>万人</x:v>
      </x:c>
      <x:c r="H78" s="18" t="n">
        <x:v>10000</x:v>
      </x:c>
      <x:c r="I78" s="18" t="n">
        <x:v>4880800</x:v>
      </x:c>
      <x:c r="J78" s="18" t="str">
        <x:v>persons</x:v>
      </x:c>
      <x:c r="K78" s="18" t="n">
        <x:v>-3.59</x:v>
      </x:c>
      <x:c r="L78" s="18"/>
      <x:c r="M78" s="6" t="str">
        <x:v>Ministry of Agriculture and Rural Affairs of the PRC</x:v>
      </x:c>
      <x:c r="N78" s="6" t="str">
        <x:v>https://yyj.moa.gov.cn/gzdt/202507/t20250707_6475475.htm</x:v>
      </x:c>
      <x:c r="O78" s="6" t="str">
        <x:v>a4ad7bbeb571678b5ddc776c9e08013b1e7f921a286da1908273de51b723022b</x:v>
      </x:c>
      <x:c r="P78" s="6" t="str">
        <x:v>2026-07-23</x:v>
      </x:c>
      <x:c r="Q78" s="6" t="str">
        <x:v>经过处理的数据（公开来源）</x:v>
      </x:c>
      <x:c r="R78" s="6" t="str">
        <x:v>deterministic regex over official HTML text</x:v>
      </x:c>
    </x:row>
    <x:row r="79" ht="26" customHeight="1">
      <x:c r="A79" s="6" t="n">
        <x:v>2024</x:v>
      </x:c>
      <x:c r="B79" s="6" t="str">
        <x:v>processing_trade</x:v>
      </x:c>
      <x:c r="C79" s="6" t="str">
        <x:v>cold_storage_units</x:v>
      </x:c>
      <x:c r="D79" s="6" t="str">
        <x:v>水产冷库</x:v>
      </x:c>
      <x:c r="E79" s="6" t="str">
        <x:v>total</x:v>
      </x:c>
      <x:c r="F79" s="18" t="n">
        <x:v>9737</x:v>
      </x:c>
      <x:c r="G79" s="18" t="str">
        <x:v>座</x:v>
      </x:c>
      <x:c r="H79" s="18" t="n">
        <x:v>1</x:v>
      </x:c>
      <x:c r="I79" s="18" t="n">
        <x:v>9737</x:v>
      </x:c>
      <x:c r="J79" s="18" t="str">
        <x:v>count</x:v>
      </x:c>
      <x:c r="K79" s="18"/>
      <x:c r="L79" s="18"/>
      <x:c r="M79" s="6" t="str">
        <x:v>Ministry of Agriculture and Rural Affairs of the PRC</x:v>
      </x:c>
      <x:c r="N79" s="6" t="str">
        <x:v>https://yyj.moa.gov.cn/gzdt/202507/t20250707_6475475.htm</x:v>
      </x:c>
      <x:c r="O79" s="6" t="str">
        <x:v>a4ad7bbeb571678b5ddc776c9e08013b1e7f921a286da1908273de51b723022b</x:v>
      </x:c>
      <x:c r="P79" s="6" t="str">
        <x:v>2026-07-23</x:v>
      </x:c>
      <x:c r="Q79" s="6" t="str">
        <x:v>经过处理的数据（公开来源）</x:v>
      </x:c>
      <x:c r="R79" s="6" t="str">
        <x:v>deterministic regex over official HTML text</x:v>
      </x:c>
    </x:row>
    <x:row r="80" ht="26" customHeight="1">
      <x:c r="A80" s="6" t="n">
        <x:v>2024</x:v>
      </x:c>
      <x:c r="B80" s="6" t="str">
        <x:v>processing_trade</x:v>
      </x:c>
      <x:c r="C80" s="6" t="str">
        <x:v>processed_products</x:v>
      </x:c>
      <x:c r="D80" s="6" t="str">
        <x:v>水产加工品总量</x:v>
      </x:c>
      <x:c r="E80" s="6" t="str">
        <x:v>freshwater</x:v>
      </x:c>
      <x:c r="F80" s="18" t="n">
        <x:v>496.19</x:v>
      </x:c>
      <x:c r="G80" s="18" t="str">
        <x:v>万吨</x:v>
      </x:c>
      <x:c r="H80" s="18" t="n">
        <x:v>10000</x:v>
      </x:c>
      <x:c r="I80" s="18" t="n">
        <x:v>4961900</x:v>
      </x:c>
      <x:c r="J80" s="18" t="str">
        <x:v>tonnes</x:v>
      </x:c>
      <x:c r="K80" s="18" t="n">
        <x:v>2.02</x:v>
      </x:c>
      <x:c r="L80" s="18"/>
      <x:c r="M80" s="6" t="str">
        <x:v>Ministry of Agriculture and Rural Affairs of the PRC</x:v>
      </x:c>
      <x:c r="N80" s="6" t="str">
        <x:v>https://yyj.moa.gov.cn/gzdt/202507/t20250707_6475475.htm</x:v>
      </x:c>
      <x:c r="O80" s="6" t="str">
        <x:v>a4ad7bbeb571678b5ddc776c9e08013b1e7f921a286da1908273de51b723022b</x:v>
      </x:c>
      <x:c r="P80" s="6" t="str">
        <x:v>2026-07-23</x:v>
      </x:c>
      <x:c r="Q80" s="6" t="str">
        <x:v>经过处理的数据（公开来源）</x:v>
      </x:c>
      <x:c r="R80" s="6" t="str">
        <x:v>deterministic regex over official HTML text</x:v>
      </x:c>
    </x:row>
    <x:row r="81" ht="26" customHeight="1">
      <x:c r="A81" s="6" t="n">
        <x:v>2024</x:v>
      </x:c>
      <x:c r="B81" s="6" t="str">
        <x:v>processing_trade</x:v>
      </x:c>
      <x:c r="C81" s="6" t="str">
        <x:v>processed_products</x:v>
      </x:c>
      <x:c r="D81" s="6" t="str">
        <x:v>水产加工品总量</x:v>
      </x:c>
      <x:c r="E81" s="6" t="str">
        <x:v>marine</x:v>
      </x:c>
      <x:c r="F81" s="18" t="n">
        <x:v>1757.57</x:v>
      </x:c>
      <x:c r="G81" s="18" t="str">
        <x:v>万吨</x:v>
      </x:c>
      <x:c r="H81" s="18" t="n">
        <x:v>10000</x:v>
      </x:c>
      <x:c r="I81" s="18" t="n">
        <x:v>17575700</x:v>
      </x:c>
      <x:c r="J81" s="18" t="str">
        <x:v>tonnes</x:v>
      </x:c>
      <x:c r="K81" s="18" t="n">
        <x:v>2.59</x:v>
      </x:c>
      <x:c r="L81" s="18"/>
      <x:c r="M81" s="6" t="str">
        <x:v>Ministry of Agriculture and Rural Affairs of the PRC</x:v>
      </x:c>
      <x:c r="N81" s="6" t="str">
        <x:v>https://yyj.moa.gov.cn/gzdt/202507/t20250707_6475475.htm</x:v>
      </x:c>
      <x:c r="O81" s="6" t="str">
        <x:v>a4ad7bbeb571678b5ddc776c9e08013b1e7f921a286da1908273de51b723022b</x:v>
      </x:c>
      <x:c r="P81" s="6" t="str">
        <x:v>2026-07-23</x:v>
      </x:c>
      <x:c r="Q81" s="6" t="str">
        <x:v>经过处理的数据（公开来源）</x:v>
      </x:c>
      <x:c r="R81" s="6" t="str">
        <x:v>deterministic regex over official HTML text</x:v>
      </x:c>
    </x:row>
    <x:row r="82" ht="26" customHeight="1">
      <x:c r="A82" s="6" t="n">
        <x:v>2024</x:v>
      </x:c>
      <x:c r="B82" s="6" t="str">
        <x:v>processing_trade</x:v>
      </x:c>
      <x:c r="C82" s="6" t="str">
        <x:v>processed_products</x:v>
      </x:c>
      <x:c r="D82" s="6" t="str">
        <x:v>水产加工品总量</x:v>
      </x:c>
      <x:c r="E82" s="6" t="str">
        <x:v>total</x:v>
      </x:c>
      <x:c r="F82" s="18" t="n">
        <x:v>2253.76</x:v>
      </x:c>
      <x:c r="G82" s="18" t="str">
        <x:v>万吨</x:v>
      </x:c>
      <x:c r="H82" s="18" t="n">
        <x:v>10000</x:v>
      </x:c>
      <x:c r="I82" s="18" t="n">
        <x:v>22537600.000000004</x:v>
      </x:c>
      <x:c r="J82" s="18" t="str">
        <x:v>tonnes</x:v>
      </x:c>
      <x:c r="K82" s="18" t="n">
        <x:v>2.47</x:v>
      </x:c>
      <x:c r="L82" s="18"/>
      <x:c r="M82" s="6" t="str">
        <x:v>Ministry of Agriculture and Rural Affairs of the PRC</x:v>
      </x:c>
      <x:c r="N82" s="6" t="str">
        <x:v>https://yyj.moa.gov.cn/gzdt/202507/t20250707_6475475.htm</x:v>
      </x:c>
      <x:c r="O82" s="6" t="str">
        <x:v>a4ad7bbeb571678b5ddc776c9e08013b1e7f921a286da1908273de51b723022b</x:v>
      </x:c>
      <x:c r="P82" s="6" t="str">
        <x:v>2026-07-23</x:v>
      </x:c>
      <x:c r="Q82" s="6" t="str">
        <x:v>经过处理的数据（公开来源）</x:v>
      </x:c>
      <x:c r="R82" s="6" t="str">
        <x:v>deterministic regex over official HTML text</x:v>
      </x:c>
    </x:row>
    <x:row r="83" ht="26" customHeight="1">
      <x:c r="A83" s="6" t="n">
        <x:v>2024</x:v>
      </x:c>
      <x:c r="B83" s="6" t="str">
        <x:v>processing_trade</x:v>
      </x:c>
      <x:c r="C83" s="6" t="str">
        <x:v>processing_enterprises</x:v>
      </x:c>
      <x:c r="D83" s="6" t="str">
        <x:v>水产加工企业</x:v>
      </x:c>
      <x:c r="E83" s="6" t="str">
        <x:v>total</x:v>
      </x:c>
      <x:c r="F83" s="18" t="n">
        <x:v>9581</x:v>
      </x:c>
      <x:c r="G83" s="18" t="str">
        <x:v>个</x:v>
      </x:c>
      <x:c r="H83" s="18" t="n">
        <x:v>1</x:v>
      </x:c>
      <x:c r="I83" s="18" t="n">
        <x:v>9581</x:v>
      </x:c>
      <x:c r="J83" s="18" t="str">
        <x:v>count</x:v>
      </x:c>
      <x:c r="K83" s="18"/>
      <x:c r="L83" s="18"/>
      <x:c r="M83" s="6" t="str">
        <x:v>Ministry of Agriculture and Rural Affairs of the PRC</x:v>
      </x:c>
      <x:c r="N83" s="6" t="str">
        <x:v>https://yyj.moa.gov.cn/gzdt/202507/t20250707_6475475.htm</x:v>
      </x:c>
      <x:c r="O83" s="6" t="str">
        <x:v>a4ad7bbeb571678b5ddc776c9e08013b1e7f921a286da1908273de51b723022b</x:v>
      </x:c>
      <x:c r="P83" s="6" t="str">
        <x:v>2026-07-23</x:v>
      </x:c>
      <x:c r="Q83" s="6" t="str">
        <x:v>经过处理的数据（公开来源）</x:v>
      </x:c>
      <x:c r="R83" s="6" t="str">
        <x:v>deterministic regex over official HTML text</x:v>
      </x:c>
    </x:row>
    <x:row r="84" ht="26" customHeight="1">
      <x:c r="A84" s="6" t="n">
        <x:v>2024</x:v>
      </x:c>
      <x:c r="B84" s="6" t="str">
        <x:v>processing_trade</x:v>
      </x:c>
      <x:c r="C84" s="6" t="str">
        <x:v>products_used_for_processing</x:v>
      </x:c>
      <x:c r="D84" s="6" t="str">
        <x:v>用于加工的水产品总量</x:v>
      </x:c>
      <x:c r="E84" s="6" t="str">
        <x:v>freshwater</x:v>
      </x:c>
      <x:c r="F84" s="18" t="n">
        <x:v>638.43</x:v>
      </x:c>
      <x:c r="G84" s="18" t="str">
        <x:v>万吨</x:v>
      </x:c>
      <x:c r="H84" s="18" t="n">
        <x:v>10000</x:v>
      </x:c>
      <x:c r="I84" s="18" t="n">
        <x:v>6384299.999999999</x:v>
      </x:c>
      <x:c r="J84" s="18" t="str">
        <x:v>tonnes</x:v>
      </x:c>
      <x:c r="K84" s="18" t="n">
        <x:v>-0.4</x:v>
      </x:c>
      <x:c r="L84" s="18"/>
      <x:c r="M84" s="6" t="str">
        <x:v>Ministry of Agriculture and Rural Affairs of the PRC</x:v>
      </x:c>
      <x:c r="N84" s="6" t="str">
        <x:v>https://yyj.moa.gov.cn/gzdt/202507/t20250707_6475475.htm</x:v>
      </x:c>
      <x:c r="O84" s="6" t="str">
        <x:v>a4ad7bbeb571678b5ddc776c9e08013b1e7f921a286da1908273de51b723022b</x:v>
      </x:c>
      <x:c r="P84" s="6" t="str">
        <x:v>2026-07-23</x:v>
      </x:c>
      <x:c r="Q84" s="6" t="str">
        <x:v>经过处理的数据（公开来源）</x:v>
      </x:c>
      <x:c r="R84" s="6" t="str">
        <x:v>deterministic regex over official HTML text</x:v>
      </x:c>
    </x:row>
    <x:row r="85" ht="26" customHeight="1">
      <x:c r="A85" s="6" t="n">
        <x:v>2024</x:v>
      </x:c>
      <x:c r="B85" s="6" t="str">
        <x:v>processing_trade</x:v>
      </x:c>
      <x:c r="C85" s="6" t="str">
        <x:v>products_used_for_processing</x:v>
      </x:c>
      <x:c r="D85" s="6" t="str">
        <x:v>用于加工的水产品总量</x:v>
      </x:c>
      <x:c r="E85" s="6" t="str">
        <x:v>marine</x:v>
      </x:c>
      <x:c r="F85" s="18" t="n">
        <x:v>2009.57</x:v>
      </x:c>
      <x:c r="G85" s="18" t="str">
        <x:v>万吨</x:v>
      </x:c>
      <x:c r="H85" s="18" t="n">
        <x:v>10000</x:v>
      </x:c>
      <x:c r="I85" s="18" t="n">
        <x:v>20095700</x:v>
      </x:c>
      <x:c r="J85" s="18" t="str">
        <x:v>tonnes</x:v>
      </x:c>
      <x:c r="K85" s="18" t="n">
        <x:v>1.36</x:v>
      </x:c>
      <x:c r="L85" s="18"/>
      <x:c r="M85" s="6" t="str">
        <x:v>Ministry of Agriculture and Rural Affairs of the PRC</x:v>
      </x:c>
      <x:c r="N85" s="6" t="str">
        <x:v>https://yyj.moa.gov.cn/gzdt/202507/t20250707_6475475.htm</x:v>
      </x:c>
      <x:c r="O85" s="6" t="str">
        <x:v>a4ad7bbeb571678b5ddc776c9e08013b1e7f921a286da1908273de51b723022b</x:v>
      </x:c>
      <x:c r="P85" s="6" t="str">
        <x:v>2026-07-23</x:v>
      </x:c>
      <x:c r="Q85" s="6" t="str">
        <x:v>经过处理的数据（公开来源）</x:v>
      </x:c>
      <x:c r="R85" s="6" t="str">
        <x:v>deterministic regex over official HTML text</x:v>
      </x:c>
    </x:row>
    <x:row r="86" ht="26" customHeight="1">
      <x:c r="A86" s="6" t="n">
        <x:v>2024</x:v>
      </x:c>
      <x:c r="B86" s="6" t="str">
        <x:v>processing_trade</x:v>
      </x:c>
      <x:c r="C86" s="6" t="str">
        <x:v>products_used_for_processing</x:v>
      </x:c>
      <x:c r="D86" s="6" t="str">
        <x:v>用于加工的水产品总量</x:v>
      </x:c>
      <x:c r="E86" s="6" t="str">
        <x:v>total</x:v>
      </x:c>
      <x:c r="F86" s="18" t="n">
        <x:v>2647.99</x:v>
      </x:c>
      <x:c r="G86" s="18" t="str">
        <x:v>万吨</x:v>
      </x:c>
      <x:c r="H86" s="18" t="n">
        <x:v>10000</x:v>
      </x:c>
      <x:c r="I86" s="18" t="n">
        <x:v>26479899.999999996</x:v>
      </x:c>
      <x:c r="J86" s="18" t="str">
        <x:v>tonnes</x:v>
      </x:c>
      <x:c r="K86" s="18" t="n">
        <x:v>0.93</x:v>
      </x:c>
      <x:c r="L86" s="18"/>
      <x:c r="M86" s="6" t="str">
        <x:v>Ministry of Agriculture and Rural Affairs of the PRC</x:v>
      </x:c>
      <x:c r="N86" s="6" t="str">
        <x:v>https://yyj.moa.gov.cn/gzdt/202507/t20250707_6475475.htm</x:v>
      </x:c>
      <x:c r="O86" s="6" t="str">
        <x:v>a4ad7bbeb571678b5ddc776c9e08013b1e7f921a286da1908273de51b723022b</x:v>
      </x:c>
      <x:c r="P86" s="6" t="str">
        <x:v>2026-07-23</x:v>
      </x:c>
      <x:c r="Q86" s="6" t="str">
        <x:v>经过处理的数据（公开来源）</x:v>
      </x:c>
      <x:c r="R86" s="6" t="str">
        <x:v>deterministic regex over official HTML text</x:v>
      </x:c>
    </x:row>
    <x:row r="87" ht="26" customHeight="1">
      <x:c r="A87" s="6" t="n">
        <x:v>2024</x:v>
      </x:c>
      <x:c r="B87" s="6" t="str">
        <x:v>processing_trade</x:v>
      </x:c>
      <x:c r="C87" s="6" t="str">
        <x:v>trade_deficit</x:v>
      </x:c>
      <x:c r="D87" s="6" t="str">
        <x:v>水产品贸易逆差</x:v>
      </x:c>
      <x:c r="E87" s="6" t="str">
        <x:v>total</x:v>
      </x:c>
      <x:c r="F87" s="18" t="n">
        <x:v>23.57</x:v>
      </x:c>
      <x:c r="G87" s="18" t="str">
        <x:v>亿美元</x:v>
      </x:c>
      <x:c r="H87" s="18" t="n">
        <x:v>100</x:v>
      </x:c>
      <x:c r="I87" s="18" t="n">
        <x:v>2357</x:v>
      </x:c>
      <x:c r="J87" s="18" t="str">
        <x:v>million USD</x:v>
      </x:c>
      <x:c r="K87" s="18"/>
      <x:c r="L87" s="18"/>
      <x:c r="M87" s="6" t="str">
        <x:v>Ministry of Agriculture and Rural Affairs of the PRC</x:v>
      </x:c>
      <x:c r="N87" s="6" t="str">
        <x:v>https://yyj.moa.gov.cn/gzdt/202507/t20250707_6475475.htm</x:v>
      </x:c>
      <x:c r="O87" s="6" t="str">
        <x:v>a4ad7bbeb571678b5ddc776c9e08013b1e7f921a286da1908273de51b723022b</x:v>
      </x:c>
      <x:c r="P87" s="6" t="str">
        <x:v>2026-07-23</x:v>
      </x:c>
      <x:c r="Q87" s="6" t="str">
        <x:v>经过处理的数据（公开来源）</x:v>
      </x:c>
      <x:c r="R87" s="6" t="str">
        <x:v>deterministic regex over official HTML text</x:v>
      </x:c>
    </x:row>
    <x:row r="88" ht="26" customHeight="1">
      <x:c r="A88" s="6" t="n">
        <x:v>2024</x:v>
      </x:c>
      <x:c r="B88" s="6" t="str">
        <x:v>processing_trade</x:v>
      </x:c>
      <x:c r="C88" s="6" t="str">
        <x:v>trade_value</x:v>
      </x:c>
      <x:c r="D88" s="6" t="str">
        <x:v>水产品出口额</x:v>
      </x:c>
      <x:c r="E88" s="6" t="str">
        <x:v>export</x:v>
      </x:c>
      <x:c r="F88" s="18" t="n">
        <x:v>207.4</x:v>
      </x:c>
      <x:c r="G88" s="18" t="str">
        <x:v>亿美元</x:v>
      </x:c>
      <x:c r="H88" s="18" t="n">
        <x:v>100</x:v>
      </x:c>
      <x:c r="I88" s="18" t="n">
        <x:v>20740</x:v>
      </x:c>
      <x:c r="J88" s="18" t="str">
        <x:v>million USD</x:v>
      </x:c>
      <x:c r="K88" s="18" t="n">
        <x:v>1.35</x:v>
      </x:c>
      <x:c r="L88" s="18"/>
      <x:c r="M88" s="6" t="str">
        <x:v>Ministry of Agriculture and Rural Affairs of the PRC</x:v>
      </x:c>
      <x:c r="N88" s="6" t="str">
        <x:v>https://yyj.moa.gov.cn/gzdt/202507/t20250707_6475475.htm</x:v>
      </x:c>
      <x:c r="O88" s="6" t="str">
        <x:v>a4ad7bbeb571678b5ddc776c9e08013b1e7f921a286da1908273de51b723022b</x:v>
      </x:c>
      <x:c r="P88" s="6" t="str">
        <x:v>2026-07-23</x:v>
      </x:c>
      <x:c r="Q88" s="6" t="str">
        <x:v>经过处理的数据（公开来源）</x:v>
      </x:c>
      <x:c r="R88" s="6" t="str">
        <x:v>deterministic regex over official HTML text</x:v>
      </x:c>
    </x:row>
    <x:row r="89" ht="26" customHeight="1">
      <x:c r="A89" s="6" t="n">
        <x:v>2024</x:v>
      </x:c>
      <x:c r="B89" s="6" t="str">
        <x:v>processing_trade</x:v>
      </x:c>
      <x:c r="C89" s="6" t="str">
        <x:v>trade_value</x:v>
      </x:c>
      <x:c r="D89" s="6" t="str">
        <x:v>水产品进口额</x:v>
      </x:c>
      <x:c r="E89" s="6" t="str">
        <x:v>import</x:v>
      </x:c>
      <x:c r="F89" s="18" t="n">
        <x:v>230.97</x:v>
      </x:c>
      <x:c r="G89" s="18" t="str">
        <x:v>亿美元</x:v>
      </x:c>
      <x:c r="H89" s="18" t="n">
        <x:v>100</x:v>
      </x:c>
      <x:c r="I89" s="18" t="n">
        <x:v>23097</x:v>
      </x:c>
      <x:c r="J89" s="18" t="str">
        <x:v>million USD</x:v>
      </x:c>
      <x:c r="K89" s="18" t="n">
        <x:v>-2.85</x:v>
      </x:c>
      <x:c r="L89" s="18"/>
      <x:c r="M89" s="6" t="str">
        <x:v>Ministry of Agriculture and Rural Affairs of the PRC</x:v>
      </x:c>
      <x:c r="N89" s="6" t="str">
        <x:v>https://yyj.moa.gov.cn/gzdt/202507/t20250707_6475475.htm</x:v>
      </x:c>
      <x:c r="O89" s="6" t="str">
        <x:v>a4ad7bbeb571678b5ddc776c9e08013b1e7f921a286da1908273de51b723022b</x:v>
      </x:c>
      <x:c r="P89" s="6" t="str">
        <x:v>2026-07-23</x:v>
      </x:c>
      <x:c r="Q89" s="6" t="str">
        <x:v>经过处理的数据（公开来源）</x:v>
      </x:c>
      <x:c r="R89" s="6" t="str">
        <x:v>deterministic regex over official HTML text</x:v>
      </x:c>
    </x:row>
    <x:row r="90" ht="26" customHeight="1">
      <x:c r="A90" s="6" t="n">
        <x:v>2024</x:v>
      </x:c>
      <x:c r="B90" s="6" t="str">
        <x:v>processing_trade</x:v>
      </x:c>
      <x:c r="C90" s="6" t="str">
        <x:v>trade_value</x:v>
      </x:c>
      <x:c r="D90" s="6" t="str">
        <x:v>水产品进出口额</x:v>
      </x:c>
      <x:c r="E90" s="6" t="str">
        <x:v>total</x:v>
      </x:c>
      <x:c r="F90" s="18" t="n">
        <x:v>438.36</x:v>
      </x:c>
      <x:c r="G90" s="18" t="str">
        <x:v>亿美元</x:v>
      </x:c>
      <x:c r="H90" s="18" t="n">
        <x:v>100</x:v>
      </x:c>
      <x:c r="I90" s="18" t="n">
        <x:v>43836</x:v>
      </x:c>
      <x:c r="J90" s="18" t="str">
        <x:v>million USD</x:v>
      </x:c>
      <x:c r="K90" s="18" t="n">
        <x:v>-0.91</x:v>
      </x:c>
      <x:c r="L90" s="18"/>
      <x:c r="M90" s="6" t="str">
        <x:v>Ministry of Agriculture and Rural Affairs of the PRC</x:v>
      </x:c>
      <x:c r="N90" s="6" t="str">
        <x:v>https://yyj.moa.gov.cn/gzdt/202507/t20250707_6475475.htm</x:v>
      </x:c>
      <x:c r="O90" s="6" t="str">
        <x:v>a4ad7bbeb571678b5ddc776c9e08013b1e7f921a286da1908273de51b723022b</x:v>
      </x:c>
      <x:c r="P90" s="6" t="str">
        <x:v>2026-07-23</x:v>
      </x:c>
      <x:c r="Q90" s="6" t="str">
        <x:v>经过处理的数据（公开来源）</x:v>
      </x:c>
      <x:c r="R90" s="6" t="str">
        <x:v>deterministic regex over official HTML text</x:v>
      </x:c>
    </x:row>
    <x:row r="91" ht="26" customHeight="1">
      <x:c r="A91" s="6" t="n">
        <x:v>2024</x:v>
      </x:c>
      <x:c r="B91" s="6" t="str">
        <x:v>processing_trade</x:v>
      </x:c>
      <x:c r="C91" s="6" t="str">
        <x:v>trade_volume</x:v>
      </x:c>
      <x:c r="D91" s="6" t="str">
        <x:v>水产品出口量</x:v>
      </x:c>
      <x:c r="E91" s="6" t="str">
        <x:v>export</x:v>
      </x:c>
      <x:c r="F91" s="18" t="n">
        <x:v>423.96</x:v>
      </x:c>
      <x:c r="G91" s="18" t="str">
        <x:v>万吨</x:v>
      </x:c>
      <x:c r="H91" s="18" t="n">
        <x:v>10000</x:v>
      </x:c>
      <x:c r="I91" s="18" t="n">
        <x:v>4239600</x:v>
      </x:c>
      <x:c r="J91" s="18" t="str">
        <x:v>tonnes</x:v>
      </x:c>
      <x:c r="K91" s="18" t="n">
        <x:v>11.62</x:v>
      </x:c>
      <x:c r="L91" s="18"/>
      <x:c r="M91" s="6" t="str">
        <x:v>Ministry of Agriculture and Rural Affairs of the PRC</x:v>
      </x:c>
      <x:c r="N91" s="6" t="str">
        <x:v>https://yyj.moa.gov.cn/gzdt/202507/t20250707_6475475.htm</x:v>
      </x:c>
      <x:c r="O91" s="6" t="str">
        <x:v>a4ad7bbeb571678b5ddc776c9e08013b1e7f921a286da1908273de51b723022b</x:v>
      </x:c>
      <x:c r="P91" s="6" t="str">
        <x:v>2026-07-23</x:v>
      </x:c>
      <x:c r="Q91" s="6" t="str">
        <x:v>经过处理的数据（公开来源）</x:v>
      </x:c>
      <x:c r="R91" s="6" t="str">
        <x:v>deterministic regex over official HTML text</x:v>
      </x:c>
    </x:row>
    <x:row r="92" ht="26" customHeight="1">
      <x:c r="A92" s="6" t="n">
        <x:v>2024</x:v>
      </x:c>
      <x:c r="B92" s="6" t="str">
        <x:v>processing_trade</x:v>
      </x:c>
      <x:c r="C92" s="6" t="str">
        <x:v>trade_volume</x:v>
      </x:c>
      <x:c r="D92" s="6" t="str">
        <x:v>水产品进口量</x:v>
      </x:c>
      <x:c r="E92" s="6" t="str">
        <x:v>import</x:v>
      </x:c>
      <x:c r="F92" s="18" t="n">
        <x:v>693.24</x:v>
      </x:c>
      <x:c r="G92" s="18" t="str">
        <x:v>万吨</x:v>
      </x:c>
      <x:c r="H92" s="18" t="n">
        <x:v>10000</x:v>
      </x:c>
      <x:c r="I92" s="18" t="n">
        <x:v>6932400</x:v>
      </x:c>
      <x:c r="J92" s="18" t="str">
        <x:v>tonnes</x:v>
      </x:c>
      <x:c r="K92" s="18" t="n">
        <x:v>2.52</x:v>
      </x:c>
      <x:c r="L92" s="18"/>
      <x:c r="M92" s="6" t="str">
        <x:v>Ministry of Agriculture and Rural Affairs of the PRC</x:v>
      </x:c>
      <x:c r="N92" s="6" t="str">
        <x:v>https://yyj.moa.gov.cn/gzdt/202507/t20250707_6475475.htm</x:v>
      </x:c>
      <x:c r="O92" s="6" t="str">
        <x:v>a4ad7bbeb571678b5ddc776c9e08013b1e7f921a286da1908273de51b723022b</x:v>
      </x:c>
      <x:c r="P92" s="6" t="str">
        <x:v>2026-07-23</x:v>
      </x:c>
      <x:c r="Q92" s="6" t="str">
        <x:v>经过处理的数据（公开来源）</x:v>
      </x:c>
      <x:c r="R92" s="6" t="str">
        <x:v>deterministic regex over official HTML text</x:v>
      </x:c>
    </x:row>
    <x:row r="93" ht="26" customHeight="1">
      <x:c r="A93" s="6" t="n">
        <x:v>2024</x:v>
      </x:c>
      <x:c r="B93" s="6" t="str">
        <x:v>processing_trade</x:v>
      </x:c>
      <x:c r="C93" s="6" t="str">
        <x:v>trade_volume</x:v>
      </x:c>
      <x:c r="D93" s="6" t="str">
        <x:v>水产品进出口量</x:v>
      </x:c>
      <x:c r="E93" s="6" t="str">
        <x:v>total</x:v>
      </x:c>
      <x:c r="F93" s="18" t="n">
        <x:v>1117.2</x:v>
      </x:c>
      <x:c r="G93" s="18" t="str">
        <x:v>万吨</x:v>
      </x:c>
      <x:c r="H93" s="18" t="n">
        <x:v>10000</x:v>
      </x:c>
      <x:c r="I93" s="18" t="n">
        <x:v>11172000</x:v>
      </x:c>
      <x:c r="J93" s="18" t="str">
        <x:v>tonnes</x:v>
      </x:c>
      <x:c r="K93" s="18" t="n">
        <x:v>5.79</x:v>
      </x:c>
      <x:c r="L93" s="18"/>
      <x:c r="M93" s="6" t="str">
        <x:v>Ministry of Agriculture and Rural Affairs of the PRC</x:v>
      </x:c>
      <x:c r="N93" s="6" t="str">
        <x:v>https://yyj.moa.gov.cn/gzdt/202507/t20250707_6475475.htm</x:v>
      </x:c>
      <x:c r="O93" s="6" t="str">
        <x:v>a4ad7bbeb571678b5ddc776c9e08013b1e7f921a286da1908273de51b723022b</x:v>
      </x:c>
      <x:c r="P93" s="6" t="str">
        <x:v>2026-07-23</x:v>
      </x:c>
      <x:c r="Q93" s="6" t="str">
        <x:v>经过处理的数据（公开来源）</x:v>
      </x:c>
      <x:c r="R93" s="6" t="str">
        <x:v>deterministic regex over official HTML text</x:v>
      </x:c>
    </x:row>
    <x:row r="94" ht="26" customHeight="1">
      <x:c r="A94" s="6" t="n">
        <x:v>2024</x:v>
      </x:c>
      <x:c r="B94" s="6" t="str">
        <x:v>production</x:v>
      </x:c>
      <x:c r="C94" s="6" t="str">
        <x:v>aquaculture_production</x:v>
      </x:c>
      <x:c r="D94" s="6" t="str">
        <x:v>养殖产量</x:v>
      </x:c>
      <x:c r="E94" s="6" t="str">
        <x:v>total</x:v>
      </x:c>
      <x:c r="F94" s="18" t="n">
        <x:v>6060.03</x:v>
      </x:c>
      <x:c r="G94" s="18" t="str">
        <x:v>万吨</x:v>
      </x:c>
      <x:c r="H94" s="18" t="n">
        <x:v>10000</x:v>
      </x:c>
      <x:c r="I94" s="18" t="n">
        <x:v>60600300</x:v>
      </x:c>
      <x:c r="J94" s="18" t="str">
        <x:v>tonnes</x:v>
      </x:c>
      <x:c r="K94" s="18" t="n">
        <x:v>4.31</x:v>
      </x:c>
      <x:c r="L94" s="18"/>
      <x:c r="M94" s="6" t="str">
        <x:v>Ministry of Agriculture and Rural Affairs of the PRC</x:v>
      </x:c>
      <x:c r="N94" s="6" t="str">
        <x:v>https://yyj.moa.gov.cn/gzdt/202507/t20250707_6475475.htm</x:v>
      </x:c>
      <x:c r="O94" s="6" t="str">
        <x:v>a4ad7bbeb571678b5ddc776c9e08013b1e7f921a286da1908273de51b723022b</x:v>
      </x:c>
      <x:c r="P94" s="6" t="str">
        <x:v>2026-07-23</x:v>
      </x:c>
      <x:c r="Q94" s="6" t="str">
        <x:v>经过处理的数据（公开来源）</x:v>
      </x:c>
      <x:c r="R94" s="6" t="str">
        <x:v>deterministic regex over official HTML text</x:v>
      </x:c>
    </x:row>
    <x:row r="95" ht="26" customHeight="1">
      <x:c r="A95" s="6" t="n">
        <x:v>2024</x:v>
      </x:c>
      <x:c r="B95" s="6" t="str">
        <x:v>production</x:v>
      </x:c>
      <x:c r="C95" s="6" t="str">
        <x:v>aquatic_products_per_capita</x:v>
      </x:c>
      <x:c r="D95" s="6" t="str">
        <x:v>水产品人均占有量</x:v>
      </x:c>
      <x:c r="E95" s="6" t="str">
        <x:v>total</x:v>
      </x:c>
      <x:c r="F95" s="18" t="n">
        <x:v>52.25</x:v>
      </x:c>
      <x:c r="G95" s="18" t="str">
        <x:v>千克</x:v>
      </x:c>
      <x:c r="H95" s="18" t="n">
        <x:v>1</x:v>
      </x:c>
      <x:c r="I95" s="18" t="n">
        <x:v>52.25</x:v>
      </x:c>
      <x:c r="J95" s="18" t="str">
        <x:v>kg/person/year</x:v>
      </x:c>
      <x:c r="K95" s="18" t="n">
        <x:v>3.51</x:v>
      </x:c>
      <x:c r="L95" s="18"/>
      <x:c r="M95" s="6" t="str">
        <x:v>Ministry of Agriculture and Rural Affairs of the PRC</x:v>
      </x:c>
      <x:c r="N95" s="6" t="str">
        <x:v>https://yyj.moa.gov.cn/gzdt/202507/t20250707_6475475.htm</x:v>
      </x:c>
      <x:c r="O95" s="6" t="str">
        <x:v>a4ad7bbeb571678b5ddc776c9e08013b1e7f921a286da1908273de51b723022b</x:v>
      </x:c>
      <x:c r="P95" s="6" t="str">
        <x:v>2026-07-23</x:v>
      </x:c>
      <x:c r="Q95" s="6" t="str">
        <x:v>经过处理的数据（公开来源）</x:v>
      </x:c>
      <x:c r="R95" s="6" t="str">
        <x:v>deterministic regex over official HTML text</x:v>
      </x:c>
    </x:row>
    <x:row r="96" ht="26" customHeight="1">
      <x:c r="A96" s="6" t="n">
        <x:v>2024</x:v>
      </x:c>
      <x:c r="B96" s="6" t="str">
        <x:v>production</x:v>
      </x:c>
      <x:c r="C96" s="6" t="str">
        <x:v>capture_production</x:v>
      </x:c>
      <x:c r="D96" s="6" t="str">
        <x:v>捕捞产量</x:v>
      </x:c>
      <x:c r="E96" s="6" t="str">
        <x:v>total</x:v>
      </x:c>
      <x:c r="F96" s="18" t="n">
        <x:v>1297.56</x:v>
      </x:c>
      <x:c r="G96" s="18" t="str">
        <x:v>万吨</x:v>
      </x:c>
      <x:c r="H96" s="18" t="n">
        <x:v>10000</x:v>
      </x:c>
      <x:c r="I96" s="18" t="n">
        <x:v>12975600</x:v>
      </x:c>
      <x:c r="J96" s="18" t="str">
        <x:v>tonnes</x:v>
      </x:c>
      <x:c r="K96" s="18" t="n">
        <x:v>-0.69</x:v>
      </x:c>
      <x:c r="L96" s="18"/>
      <x:c r="M96" s="6" t="str">
        <x:v>Ministry of Agriculture and Rural Affairs of the PRC</x:v>
      </x:c>
      <x:c r="N96" s="6" t="str">
        <x:v>https://yyj.moa.gov.cn/gzdt/202507/t20250707_6475475.htm</x:v>
      </x:c>
      <x:c r="O96" s="6" t="str">
        <x:v>a4ad7bbeb571678b5ddc776c9e08013b1e7f921a286da1908273de51b723022b</x:v>
      </x:c>
      <x:c r="P96" s="6" t="str">
        <x:v>2026-07-23</x:v>
      </x:c>
      <x:c r="Q96" s="6" t="str">
        <x:v>经过处理的数据（公开来源）</x:v>
      </x:c>
      <x:c r="R96" s="6" t="str">
        <x:v>deterministic regex over official HTML text</x:v>
      </x:c>
    </x:row>
    <x:row r="97" ht="26" customHeight="1">
      <x:c r="A97" s="6" t="n">
        <x:v>2024</x:v>
      </x:c>
      <x:c r="B97" s="6" t="str">
        <x:v>production</x:v>
      </x:c>
      <x:c r="C97" s="6" t="str">
        <x:v>distant_water_capture</x:v>
      </x:c>
      <x:c r="D97" s="6" t="str">
        <x:v>远洋渔业产量</x:v>
      </x:c>
      <x:c r="E97" s="6" t="str">
        <x:v>distant_water</x:v>
      </x:c>
      <x:c r="F97" s="18" t="n">
        <x:v>218.91</x:v>
      </x:c>
      <x:c r="G97" s="18" t="str">
        <x:v>万吨</x:v>
      </x:c>
      <x:c r="H97" s="18" t="n">
        <x:v>10000</x:v>
      </x:c>
      <x:c r="I97" s="18" t="n">
        <x:v>2189100</x:v>
      </x:c>
      <x:c r="J97" s="18" t="str">
        <x:v>tonnes</x:v>
      </x:c>
      <x:c r="K97" s="18" t="n">
        <x:v>-5.74</x:v>
      </x:c>
      <x:c r="L97" s="18"/>
      <x:c r="M97" s="6" t="str">
        <x:v>Ministry of Agriculture and Rural Affairs of the PRC</x:v>
      </x:c>
      <x:c r="N97" s="6" t="str">
        <x:v>https://yyj.moa.gov.cn/gzdt/202507/t20250707_6475475.htm</x:v>
      </x:c>
      <x:c r="O97" s="6" t="str">
        <x:v>a4ad7bbeb571678b5ddc776c9e08013b1e7f921a286da1908273de51b723022b</x:v>
      </x:c>
      <x:c r="P97" s="6" t="str">
        <x:v>2026-07-23</x:v>
      </x:c>
      <x:c r="Q97" s="6" t="str">
        <x:v>经过处理的数据（公开来源）</x:v>
      </x:c>
      <x:c r="R97" s="6" t="str">
        <x:v>deterministic regex over official HTML text</x:v>
      </x:c>
    </x:row>
    <x:row r="98" ht="26" customHeight="1">
      <x:c r="A98" s="6" t="n">
        <x:v>2024</x:v>
      </x:c>
      <x:c r="B98" s="6" t="str">
        <x:v>production</x:v>
      </x:c>
      <x:c r="C98" s="6" t="str">
        <x:v>freshwater_products</x:v>
      </x:c>
      <x:c r="D98" s="6" t="str">
        <x:v>淡水产品产量</x:v>
      </x:c>
      <x:c r="E98" s="6" t="str">
        <x:v>freshwater</x:v>
      </x:c>
      <x:c r="F98" s="18" t="n">
        <x:v>3648.72</x:v>
      </x:c>
      <x:c r="G98" s="18" t="str">
        <x:v>万吨</x:v>
      </x:c>
      <x:c r="H98" s="18" t="n">
        <x:v>10000</x:v>
      </x:c>
      <x:c r="I98" s="18" t="n">
        <x:v>36487200</x:v>
      </x:c>
      <x:c r="J98" s="18" t="str">
        <x:v>tonnes</x:v>
      </x:c>
      <x:c r="K98" s="18" t="n">
        <x:v>3.34</x:v>
      </x:c>
      <x:c r="L98" s="18"/>
      <x:c r="M98" s="6" t="str">
        <x:v>Ministry of Agriculture and Rural Affairs of the PRC</x:v>
      </x:c>
      <x:c r="N98" s="6" t="str">
        <x:v>https://yyj.moa.gov.cn/gzdt/202507/t20250707_6475475.htm</x:v>
      </x:c>
      <x:c r="O98" s="6" t="str">
        <x:v>a4ad7bbeb571678b5ddc776c9e08013b1e7f921a286da1908273de51b723022b</x:v>
      </x:c>
      <x:c r="P98" s="6" t="str">
        <x:v>2026-07-23</x:v>
      </x:c>
      <x:c r="Q98" s="6" t="str">
        <x:v>经过处理的数据（公开来源）</x:v>
      </x:c>
      <x:c r="R98" s="6" t="str">
        <x:v>deterministic regex over official HTML text</x:v>
      </x:c>
    </x:row>
    <x:row r="99" ht="26" customHeight="1">
      <x:c r="A99" s="6" t="n">
        <x:v>2024</x:v>
      </x:c>
      <x:c r="B99" s="6" t="str">
        <x:v>production</x:v>
      </x:c>
      <x:c r="C99" s="6" t="str">
        <x:v>marine_products</x:v>
      </x:c>
      <x:c r="D99" s="6" t="str">
        <x:v>海水产品产量</x:v>
      </x:c>
      <x:c r="E99" s="6" t="str">
        <x:v>marine</x:v>
      </x:c>
      <x:c r="F99" s="18" t="n">
        <x:v>3708.87</x:v>
      </x:c>
      <x:c r="G99" s="18" t="str">
        <x:v>万吨</x:v>
      </x:c>
      <x:c r="H99" s="18" t="n">
        <x:v>10000</x:v>
      </x:c>
      <x:c r="I99" s="18" t="n">
        <x:v>37088700</x:v>
      </x:c>
      <x:c r="J99" s="18" t="str">
        <x:v>tonnes</x:v>
      </x:c>
      <x:c r="K99" s="18" t="n">
        <x:v>3.45</x:v>
      </x:c>
      <x:c r="L99" s="18"/>
      <x:c r="M99" s="6" t="str">
        <x:v>Ministry of Agriculture and Rural Affairs of the PRC</x:v>
      </x:c>
      <x:c r="N99" s="6" t="str">
        <x:v>https://yyj.moa.gov.cn/gzdt/202507/t20250707_6475475.htm</x:v>
      </x:c>
      <x:c r="O99" s="6" t="str">
        <x:v>a4ad7bbeb571678b5ddc776c9e08013b1e7f921a286da1908273de51b723022b</x:v>
      </x:c>
      <x:c r="P99" s="6" t="str">
        <x:v>2026-07-23</x:v>
      </x:c>
      <x:c r="Q99" s="6" t="str">
        <x:v>经过处理的数据（公开来源）</x:v>
      </x:c>
      <x:c r="R99" s="6" t="str">
        <x:v>deterministic regex over official HTML text</x:v>
      </x:c>
    </x:row>
    <x:row r="100" ht="26" customHeight="1">
      <x:c r="A100" s="6" t="n">
        <x:v>2024</x:v>
      </x:c>
      <x:c r="B100" s="6" t="str">
        <x:v>production</x:v>
      </x:c>
      <x:c r="C100" s="6" t="str">
        <x:v>total_aquatic_products</x:v>
      </x:c>
      <x:c r="D100" s="6" t="str">
        <x:v>水产品总产量</x:v>
      </x:c>
      <x:c r="E100" s="6" t="str">
        <x:v>total</x:v>
      </x:c>
      <x:c r="F100" s="18" t="n">
        <x:v>7357.59</x:v>
      </x:c>
      <x:c r="G100" s="18" t="str">
        <x:v>万吨</x:v>
      </x:c>
      <x:c r="H100" s="18" t="n">
        <x:v>10000</x:v>
      </x:c>
      <x:c r="I100" s="18" t="n">
        <x:v>73575900</x:v>
      </x:c>
      <x:c r="J100" s="18" t="str">
        <x:v>tonnes</x:v>
      </x:c>
      <x:c r="K100" s="18" t="n">
        <x:v>3.39</x:v>
      </x:c>
      <x:c r="L100" s="18"/>
      <x:c r="M100" s="6" t="str">
        <x:v>Ministry of Agriculture and Rural Affairs of the PRC</x:v>
      </x:c>
      <x:c r="N100" s="6" t="str">
        <x:v>https://yyj.moa.gov.cn/gzdt/202507/t20250707_6475475.htm</x:v>
      </x:c>
      <x:c r="O100" s="6" t="str">
        <x:v>a4ad7bbeb571678b5ddc776c9e08013b1e7f921a286da1908273de51b723022b</x:v>
      </x:c>
      <x:c r="P100" s="6" t="str">
        <x:v>2026-07-23</x:v>
      </x:c>
      <x:c r="Q100" s="6" t="str">
        <x:v>经过处理的数据（公开来源）</x:v>
      </x:c>
      <x:c r="R100" s="6" t="str">
        <x:v>deterministic regex over official HTML text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44" hidden="0" customWidth="1"/>
    <x:col min="4" max="4" width="28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52" hidden="0" customWidth="1"/>
    <x:col min="12" max="12" width="62" hidden="0" customWidth="1"/>
    <x:col min="13" max="13" width="66" hidden="0" customWidth="1"/>
    <x:col min="14" max="14" width="14" hidden="0" customWidth="1"/>
    <x:col min="15" max="15" width="30" hidden="0" customWidth="1"/>
    <x:col min="16" max="16" width="46" hidden="0" customWidth="1"/>
  </x:cols>
  <x:sheetData>
    <x:row r="1" ht="34" customHeight="1">
      <x:c r="A1" s="12" t="str">
        <x:v>year</x:v>
      </x:c>
      <x:c r="B1" s="12" t="str">
        <x:v>comparison_year</x:v>
      </x:c>
      <x:c r="C1" s="12" t="str">
        <x:v>indicator</x:v>
      </x:c>
      <x:c r="D1" s="12" t="str">
        <x:v>indicator_zh</x:v>
      </x:c>
      <x:c r="E1" s="12" t="str">
        <x:v>reported_value</x:v>
      </x:c>
      <x:c r="F1" s="12" t="str">
        <x:v>reported_unit</x:v>
      </x:c>
      <x:c r="G1" s="12" t="str">
        <x:v>normalization_multiplier</x:v>
      </x:c>
      <x:c r="H1" s="12" t="str">
        <x:v>value</x:v>
      </x:c>
      <x:c r="I1" s="12" t="str">
        <x:v>unit</x:v>
      </x:c>
      <x:c r="J1" s="12" t="str">
        <x:v>change_direction</x:v>
      </x:c>
      <x:c r="K1" s="12" t="str">
        <x:v>source_organization</x:v>
      </x:c>
      <x:c r="L1" s="12" t="str">
        <x:v>source_url</x:v>
      </x:c>
      <x:c r="M1" s="12" t="str">
        <x:v>source_sha256</x:v>
      </x:c>
      <x:c r="N1" s="12" t="str">
        <x:v>retrieved_on</x:v>
      </x:c>
      <x:c r="O1" s="12" t="str">
        <x:v>data_label</x:v>
      </x:c>
      <x:c r="P1" s="12" t="str">
        <x:v>extraction_method</x:v>
      </x:c>
    </x:row>
    <x:row r="2" ht="26" customHeight="1">
      <x:c r="A2" s="6" t="n">
        <x:v>2024</x:v>
      </x:c>
      <x:c r="B2" s="6" t="n">
        <x:v>2024</x:v>
      </x:c>
      <x:c r="C2" s="6" t="str">
        <x:v>monitoring_stations</x:v>
      </x:c>
      <x:c r="D2" s="6" t="str">
        <x:v>监测站数量</x:v>
      </x:c>
      <x:c r="E2" s="18" t="n">
        <x:v>42</x:v>
      </x:c>
      <x:c r="F2" s="18" t="str">
        <x:v>个</x:v>
      </x:c>
      <x:c r="G2" s="18" t="n">
        <x:v>1</x:v>
      </x:c>
      <x:c r="H2" s="18" t="n">
        <x:v>42</x:v>
      </x:c>
      <x:c r="I2" s="18" t="str">
        <x:v>count</x:v>
      </x:c>
      <x:c r="J2" s="6" t="str">
        <x:v>level</x:v>
      </x:c>
      <x:c r="K2" s="6" t="str">
        <x:v>Ministry of Agriculture and Rural Affairs / Ministry of Ecology and Environment</x:v>
      </x:c>
      <x:c r="L2" s="6" t="str">
        <x:v>https://cjyzbgs.moa.gov.cn/gzdt/202509/t20250918_6477465.htm</x:v>
      </x:c>
      <x:c r="M2" s="6" t="str">
        <x:v>2a76135b5adb7c2fb9da39d27b7c6d7a80384444cb07be4e48b47854e989e47c</x:v>
      </x:c>
      <x:c r="N2" s="6" t="str">
        <x:v>2026-07-23</x:v>
      </x:c>
      <x:c r="O2" s="6" t="str">
        <x:v>经过处理的数据（公开来源）</x:v>
      </x:c>
      <x:c r="P2" s="6" t="str">
        <x:v>deterministic regex over official HTML summary</x:v>
      </x:c>
    </x:row>
    <x:row r="3" ht="26" customHeight="1">
      <x:c r="A3" s="6" t="n">
        <x:v>2024</x:v>
      </x:c>
      <x:c r="B3" s="6" t="n">
        <x:v>2024</x:v>
      </x:c>
      <x:c r="C3" s="6" t="str">
        <x:v>important_fishery_waters</x:v>
      </x:c>
      <x:c r="D3" s="6" t="str">
        <x:v>重要渔业水域数量</x:v>
      </x:c>
      <x:c r="E3" s="18" t="n">
        <x:v>159</x:v>
      </x:c>
      <x:c r="F3" s="18" t="str">
        <x:v>个</x:v>
      </x:c>
      <x:c r="G3" s="18" t="n">
        <x:v>1</x:v>
      </x:c>
      <x:c r="H3" s="18" t="n">
        <x:v>159</x:v>
      </x:c>
      <x:c r="I3" s="18" t="str">
        <x:v>count</x:v>
      </x:c>
      <x:c r="J3" s="6" t="str">
        <x:v>level</x:v>
      </x:c>
      <x:c r="K3" s="6" t="str">
        <x:v>Ministry of Agriculture and Rural Affairs / Ministry of Ecology and Environment</x:v>
      </x:c>
      <x:c r="L3" s="6" t="str">
        <x:v>https://cjyzbgs.moa.gov.cn/gzdt/202509/t20250918_6477465.htm</x:v>
      </x:c>
      <x:c r="M3" s="6" t="str">
        <x:v>2a76135b5adb7c2fb9da39d27b7c6d7a80384444cb07be4e48b47854e989e47c</x:v>
      </x:c>
      <x:c r="N3" s="6" t="str">
        <x:v>2026-07-23</x:v>
      </x:c>
      <x:c r="O3" s="6" t="str">
        <x:v>经过处理的数据（公开来源）</x:v>
      </x:c>
      <x:c r="P3" s="6" t="str">
        <x:v>deterministic regex over official HTML summary</x:v>
      </x:c>
    </x:row>
    <x:row r="4" ht="26" customHeight="1">
      <x:c r="A4" s="6" t="n">
        <x:v>2024</x:v>
      </x:c>
      <x:c r="B4" s="6" t="n">
        <x:v>2024</x:v>
      </x:c>
      <x:c r="C4" s="6" t="str">
        <x:v>monitored_water_area</x:v>
      </x:c>
      <x:c r="D4" s="6" t="str">
        <x:v>监测水域总面积</x:v>
      </x:c>
      <x:c r="E4" s="18" t="n">
        <x:v>1016</x:v>
      </x:c>
      <x:c r="F4" s="18" t="str">
        <x:v>万公顷</x:v>
      </x:c>
      <x:c r="G4" s="18" t="n">
        <x:v>10000</x:v>
      </x:c>
      <x:c r="H4" s="18" t="n">
        <x:v>10160000</x:v>
      </x:c>
      <x:c r="I4" s="18" t="str">
        <x:v>hectares</x:v>
      </x:c>
      <x:c r="J4" s="6" t="str">
        <x:v>level</x:v>
      </x:c>
      <x:c r="K4" s="6" t="str">
        <x:v>Ministry of Agriculture and Rural Affairs / Ministry of Ecology and Environment</x:v>
      </x:c>
      <x:c r="L4" s="6" t="str">
        <x:v>https://cjyzbgs.moa.gov.cn/gzdt/202509/t20250918_6477465.htm</x:v>
      </x:c>
      <x:c r="M4" s="6" t="str">
        <x:v>2a76135b5adb7c2fb9da39d27b7c6d7a80384444cb07be4e48b47854e989e47c</x:v>
      </x:c>
      <x:c r="N4" s="6" t="str">
        <x:v>2026-07-23</x:v>
      </x:c>
      <x:c r="O4" s="6" t="str">
        <x:v>经过处理的数据（公开来源）</x:v>
      </x:c>
      <x:c r="P4" s="6" t="str">
        <x:v>deterministic regex over official HTML summary</x:v>
      </x:c>
    </x:row>
    <x:row r="5" ht="26" customHeight="1">
      <x:c r="A5" s="6" t="n">
        <x:v>2024</x:v>
      </x:c>
      <x:c r="B5" s="6" t="n">
        <x:v>2023</x:v>
      </x:c>
      <x:c r="C5" s="6" t="str">
        <x:v>monitoring_station_increase</x:v>
      </x:c>
      <x:c r="D5" s="6" t="str">
        <x:v>监测站增加数</x:v>
      </x:c>
      <x:c r="E5" s="18" t="n">
        <x:v>1</x:v>
      </x:c>
      <x:c r="F5" s="18" t="str">
        <x:v>个</x:v>
      </x:c>
      <x:c r="G5" s="18" t="n">
        <x:v>1</x:v>
      </x:c>
      <x:c r="H5" s="18" t="n">
        <x:v>1</x:v>
      </x:c>
      <x:c r="I5" s="18" t="str">
        <x:v>count</x:v>
      </x:c>
      <x:c r="J5" s="6" t="str">
        <x:v>increase</x:v>
      </x:c>
      <x:c r="K5" s="6" t="str">
        <x:v>Ministry of Agriculture and Rural Affairs / Ministry of Ecology and Environment</x:v>
      </x:c>
      <x:c r="L5" s="6" t="str">
        <x:v>https://cjyzbgs.moa.gov.cn/gzdt/202509/t20250918_6477465.htm</x:v>
      </x:c>
      <x:c r="M5" s="6" t="str">
        <x:v>2a76135b5adb7c2fb9da39d27b7c6d7a80384444cb07be4e48b47854e989e47c</x:v>
      </x:c>
      <x:c r="N5" s="6" t="str">
        <x:v>2026-07-23</x:v>
      </x:c>
      <x:c r="O5" s="6" t="str">
        <x:v>经过处理的数据（公开来源）</x:v>
      </x:c>
      <x:c r="P5" s="6" t="str">
        <x:v>deterministic regex over official HTML summary</x:v>
      </x:c>
    </x:row>
    <x:row r="6" ht="26" customHeight="1">
      <x:c r="A6" s="6" t="n">
        <x:v>2024</x:v>
      </x:c>
      <x:c r="B6" s="6" t="n">
        <x:v>2023</x:v>
      </x:c>
      <x:c r="C6" s="6" t="str">
        <x:v>important_water_increase</x:v>
      </x:c>
      <x:c r="D6" s="6" t="str">
        <x:v>重要渔业水域增加数</x:v>
      </x:c>
      <x:c r="E6" s="18" t="n">
        <x:v>6</x:v>
      </x:c>
      <x:c r="F6" s="18" t="str">
        <x:v>个</x:v>
      </x:c>
      <x:c r="G6" s="18" t="n">
        <x:v>1</x:v>
      </x:c>
      <x:c r="H6" s="18" t="n">
        <x:v>6</x:v>
      </x:c>
      <x:c r="I6" s="18" t="str">
        <x:v>count</x:v>
      </x:c>
      <x:c r="J6" s="6" t="str">
        <x:v>increase</x:v>
      </x:c>
      <x:c r="K6" s="6" t="str">
        <x:v>Ministry of Agriculture and Rural Affairs / Ministry of Ecology and Environment</x:v>
      </x:c>
      <x:c r="L6" s="6" t="str">
        <x:v>https://cjyzbgs.moa.gov.cn/gzdt/202509/t20250918_6477465.htm</x:v>
      </x:c>
      <x:c r="M6" s="6" t="str">
        <x:v>2a76135b5adb7c2fb9da39d27b7c6d7a80384444cb07be4e48b47854e989e47c</x:v>
      </x:c>
      <x:c r="N6" s="6" t="str">
        <x:v>2026-07-23</x:v>
      </x:c>
      <x:c r="O6" s="6" t="str">
        <x:v>经过处理的数据（公开来源）</x:v>
      </x:c>
      <x:c r="P6" s="6" t="str">
        <x:v>deterministic regex over official HTML summary</x:v>
      </x:c>
    </x:row>
    <x:row r="7" ht="26" customHeight="1">
      <x:c r="A7" s="6" t="n">
        <x:v>2024</x:v>
      </x:c>
      <x:c r="B7" s="6" t="n">
        <x:v>2023</x:v>
      </x:c>
      <x:c r="C7" s="6" t="str">
        <x:v>monitored_area_increase</x:v>
      </x:c>
      <x:c r="D7" s="6" t="str">
        <x:v>监测面积增加量</x:v>
      </x:c>
      <x:c r="E7" s="18" t="n">
        <x:v>15</x:v>
      </x:c>
      <x:c r="F7" s="18" t="str">
        <x:v>万公顷</x:v>
      </x:c>
      <x:c r="G7" s="18" t="n">
        <x:v>10000</x:v>
      </x:c>
      <x:c r="H7" s="18" t="n">
        <x:v>150000</x:v>
      </x:c>
      <x:c r="I7" s="18" t="str">
        <x:v>hectares</x:v>
      </x:c>
      <x:c r="J7" s="6" t="str">
        <x:v>increase</x:v>
      </x:c>
      <x:c r="K7" s="6" t="str">
        <x:v>Ministry of Agriculture and Rural Affairs / Ministry of Ecology and Environment</x:v>
      </x:c>
      <x:c r="L7" s="6" t="str">
        <x:v>https://cjyzbgs.moa.gov.cn/gzdt/202509/t20250918_6477465.htm</x:v>
      </x:c>
      <x:c r="M7" s="6" t="str">
        <x:v>2a76135b5adb7c2fb9da39d27b7c6d7a80384444cb07be4e48b47854e989e47c</x:v>
      </x:c>
      <x:c r="N7" s="6" t="str">
        <x:v>2026-07-23</x:v>
      </x:c>
      <x:c r="O7" s="6" t="str">
        <x:v>经过处理的数据（公开来源）</x:v>
      </x:c>
      <x:c r="P7" s="6" t="str">
        <x:v>deterministic regex over official HTML summary</x:v>
      </x:c>
    </x:row>
    <x:row r="8" ht="26" customHeight="1">
      <x:c r="A8" s="6" t="n">
        <x:v>2024</x:v>
      </x:c>
      <x:c r="B8" s="6" t="n">
        <x:v>2023</x:v>
      </x:c>
      <x:c r="C8" s="6" t="str">
        <x:v>marine_cod_exceedance_area_ratio</x:v>
      </x:c>
      <x:c r="D8" s="6" t="str">
        <x:v>海洋化学需氧量超标面积比例</x:v>
      </x:c>
      <x:c r="E8" s="18" t="n">
        <x:v>25</x:v>
      </x:c>
      <x:c r="F8" s="18" t="str">
        <x:v>%</x:v>
      </x:c>
      <x:c r="G8" s="18" t="n">
        <x:v>1</x:v>
      </x:c>
      <x:c r="H8" s="18" t="n">
        <x:v>25</x:v>
      </x:c>
      <x:c r="I8" s="18" t="str">
        <x:v>percentage points reported as decline magnitude</x:v>
      </x:c>
      <x:c r="J8" s="6" t="str">
        <x:v>decrease</x:v>
      </x:c>
      <x:c r="K8" s="6" t="str">
        <x:v>Ministry of Agriculture and Rural Affairs / Ministry of Ecology and Environment</x:v>
      </x:c>
      <x:c r="L8" s="6" t="str">
        <x:v>https://cjyzbgs.moa.gov.cn/gzdt/202509/t20250918_6477465.htm</x:v>
      </x:c>
      <x:c r="M8" s="6" t="str">
        <x:v>2a76135b5adb7c2fb9da39d27b7c6d7a80384444cb07be4e48b47854e989e47c</x:v>
      </x:c>
      <x:c r="N8" s="6" t="str">
        <x:v>2026-07-23</x:v>
      </x:c>
      <x:c r="O8" s="6" t="str">
        <x:v>经过处理的数据（公开来源）</x:v>
      </x:c>
      <x:c r="P8" s="6" t="str">
        <x:v>deterministic regex over official HTML summary</x:v>
      </x:c>
    </x:row>
    <x:row r="9" ht="26" customHeight="1">
      <x:c r="A9" s="6" t="n">
        <x:v>2024</x:v>
      </x:c>
      <x:c r="B9" s="6" t="n">
        <x:v>2023</x:v>
      </x:c>
      <x:c r="C9" s="6" t="str">
        <x:v>inland_unionized_ammonia_exceedance_area_ratio</x:v>
      </x:c>
      <x:c r="D9" s="6" t="str">
        <x:v>内陆非离子氨超标面积比例</x:v>
      </x:c>
      <x:c r="E9" s="18" t="n">
        <x:v>25</x:v>
      </x:c>
      <x:c r="F9" s="18" t="str">
        <x:v>%</x:v>
      </x:c>
      <x:c r="G9" s="18" t="n">
        <x:v>1</x:v>
      </x:c>
      <x:c r="H9" s="18" t="n">
        <x:v>25</x:v>
      </x:c>
      <x:c r="I9" s="18" t="str">
        <x:v>percentage points reported as decline magnitude</x:v>
      </x:c>
      <x:c r="J9" s="6" t="str">
        <x:v>decrease</x:v>
      </x:c>
      <x:c r="K9" s="6" t="str">
        <x:v>Ministry of Agriculture and Rural Affairs / Ministry of Ecology and Environment</x:v>
      </x:c>
      <x:c r="L9" s="6" t="str">
        <x:v>https://cjyzbgs.moa.gov.cn/gzdt/202509/t20250918_6477465.htm</x:v>
      </x:c>
      <x:c r="M9" s="6" t="str">
        <x:v>2a76135b5adb7c2fb9da39d27b7c6d7a80384444cb07be4e48b47854e989e47c</x:v>
      </x:c>
      <x:c r="N9" s="6" t="str">
        <x:v>2026-07-23</x:v>
      </x:c>
      <x:c r="O9" s="6" t="str">
        <x:v>经过处理的数据（公开来源）</x:v>
      </x:c>
      <x:c r="P9" s="6" t="str">
        <x:v>deterministic regex over official HTML summary</x:v>
      </x:c>
    </x:row>
    <x:row r="10" ht="26" customHeight="1">
      <x:c r="A10" s="6" t="n">
        <x:v>2024</x:v>
      </x:c>
      <x:c r="B10" s="6" t="n">
        <x:v>2023</x:v>
      </x:c>
      <x:c r="C10" s="6" t="str">
        <x:v>inland_permanganate_exceedance_area_ratio</x:v>
      </x:c>
      <x:c r="D10" s="6" t="str">
        <x:v>内陆高锰酸盐指数超标面积比例</x:v>
      </x:c>
      <x:c r="E10" s="18" t="n">
        <x:v>32</x:v>
      </x:c>
      <x:c r="F10" s="18" t="str">
        <x:v>%</x:v>
      </x:c>
      <x:c r="G10" s="18" t="n">
        <x:v>1</x:v>
      </x:c>
      <x:c r="H10" s="18" t="n">
        <x:v>32</x:v>
      </x:c>
      <x:c r="I10" s="18" t="str">
        <x:v>percentage points reported as decline magnitude</x:v>
      </x:c>
      <x:c r="J10" s="6" t="str">
        <x:v>decrease</x:v>
      </x:c>
      <x:c r="K10" s="6" t="str">
        <x:v>Ministry of Agriculture and Rural Affairs / Ministry of Ecology and Environment</x:v>
      </x:c>
      <x:c r="L10" s="6" t="str">
        <x:v>https://cjyzbgs.moa.gov.cn/gzdt/202509/t20250918_6477465.htm</x:v>
      </x:c>
      <x:c r="M10" s="6" t="str">
        <x:v>2a76135b5adb7c2fb9da39d27b7c6d7a80384444cb07be4e48b47854e989e47c</x:v>
      </x:c>
      <x:c r="N10" s="6" t="str">
        <x:v>2026-07-23</x:v>
      </x:c>
      <x:c r="O10" s="6" t="str">
        <x:v>经过处理的数据（公开来源）</x:v>
      </x:c>
      <x:c r="P10" s="6" t="str">
        <x:v>deterministic regex over official HTML summary</x:v>
      </x:c>
    </x:row>
    <x:row r="11" ht="26" customHeight="1">
      <x:c r="A11" s="6" t="n">
        <x:v>2024</x:v>
      </x:c>
      <x:c r="B11" s="6" t="n">
        <x:v>2020</x:v>
      </x:c>
      <x:c r="C11" s="6" t="str">
        <x:v>marine_inorganic_nitrogen_exceedance_area_ratio</x:v>
      </x:c>
      <x:c r="D11" s="6" t="str">
        <x:v>海洋无机氮超标面积比例</x:v>
      </x:c>
      <x:c r="E11" s="18" t="n">
        <x:v>16</x:v>
      </x:c>
      <x:c r="F11" s="18" t="str">
        <x:v>%</x:v>
      </x:c>
      <x:c r="G11" s="18" t="n">
        <x:v>1</x:v>
      </x:c>
      <x:c r="H11" s="18" t="n">
        <x:v>16</x:v>
      </x:c>
      <x:c r="I11" s="18" t="str">
        <x:v>percentage points reported as decline magnitude</x:v>
      </x:c>
      <x:c r="J11" s="6" t="str">
        <x:v>decrease</x:v>
      </x:c>
      <x:c r="K11" s="6" t="str">
        <x:v>Ministry of Agriculture and Rural Affairs / Ministry of Ecology and Environment</x:v>
      </x:c>
      <x:c r="L11" s="6" t="str">
        <x:v>https://cjyzbgs.moa.gov.cn/gzdt/202509/t20250918_6477465.htm</x:v>
      </x:c>
      <x:c r="M11" s="6" t="str">
        <x:v>2a76135b5adb7c2fb9da39d27b7c6d7a80384444cb07be4e48b47854e989e47c</x:v>
      </x:c>
      <x:c r="N11" s="6" t="str">
        <x:v>2026-07-23</x:v>
      </x:c>
      <x:c r="O11" s="6" t="str">
        <x:v>经过处理的数据（公开来源）</x:v>
      </x:c>
      <x:c r="P11" s="6" t="str">
        <x:v>deterministic regex over official HTML summary</x:v>
      </x:c>
    </x:row>
    <x:row r="12" ht="26" customHeight="1">
      <x:c r="A12" s="6" t="n">
        <x:v>2024</x:v>
      </x:c>
      <x:c r="B12" s="6" t="n">
        <x:v>2020</x:v>
      </x:c>
      <x:c r="C12" s="6" t="str">
        <x:v>marine_reactive_phosphate_exceedance_area_ratio</x:v>
      </x:c>
      <x:c r="D12" s="6" t="str">
        <x:v>海洋活性磷酸盐超标面积比例</x:v>
      </x:c>
      <x:c r="E12" s="18" t="n">
        <x:v>50</x:v>
      </x:c>
      <x:c r="F12" s="18" t="str">
        <x:v>%</x:v>
      </x:c>
      <x:c r="G12" s="18" t="n">
        <x:v>1</x:v>
      </x:c>
      <x:c r="H12" s="18" t="n">
        <x:v>50</x:v>
      </x:c>
      <x:c r="I12" s="18" t="str">
        <x:v>percentage points reported as decline magnitude</x:v>
      </x:c>
      <x:c r="J12" s="6" t="str">
        <x:v>decrease</x:v>
      </x:c>
      <x:c r="K12" s="6" t="str">
        <x:v>Ministry of Agriculture and Rural Affairs / Ministry of Ecology and Environment</x:v>
      </x:c>
      <x:c r="L12" s="6" t="str">
        <x:v>https://cjyzbgs.moa.gov.cn/gzdt/202509/t20250918_6477465.htm</x:v>
      </x:c>
      <x:c r="M12" s="6" t="str">
        <x:v>2a76135b5adb7c2fb9da39d27b7c6d7a80384444cb07be4e48b47854e989e47c</x:v>
      </x:c>
      <x:c r="N12" s="6" t="str">
        <x:v>2026-07-23</x:v>
      </x:c>
      <x:c r="O12" s="6" t="str">
        <x:v>经过处理的数据（公开来源）</x:v>
      </x:c>
      <x:c r="P12" s="6" t="str">
        <x:v>deterministic regex over official HTML summary</x:v>
      </x:c>
    </x:row>
    <x:row r="13" ht="26" customHeight="1">
      <x:c r="A13" s="6" t="n">
        <x:v>2024</x:v>
      </x:c>
      <x:c r="B13" s="6" t="n">
        <x:v>2020</x:v>
      </x:c>
      <x:c r="C13" s="6" t="str">
        <x:v>river_total_phosphorus_exceedance_area_ratio</x:v>
      </x:c>
      <x:c r="D13" s="6" t="str">
        <x:v>江河总磷超标面积比例</x:v>
      </x:c>
      <x:c r="E13" s="18" t="n">
        <x:v>41</x:v>
      </x:c>
      <x:c r="F13" s="18" t="str">
        <x:v>%</x:v>
      </x:c>
      <x:c r="G13" s="18" t="n">
        <x:v>1</x:v>
      </x:c>
      <x:c r="H13" s="18" t="n">
        <x:v>41</x:v>
      </x:c>
      <x:c r="I13" s="18" t="str">
        <x:v>percentage points reported as decline magnitude</x:v>
      </x:c>
      <x:c r="J13" s="6" t="str">
        <x:v>decrease</x:v>
      </x:c>
      <x:c r="K13" s="6" t="str">
        <x:v>Ministry of Agriculture and Rural Affairs / Ministry of Ecology and Environment</x:v>
      </x:c>
      <x:c r="L13" s="6" t="str">
        <x:v>https://cjyzbgs.moa.gov.cn/gzdt/202509/t20250918_6477465.htm</x:v>
      </x:c>
      <x:c r="M13" s="6" t="str">
        <x:v>2a76135b5adb7c2fb9da39d27b7c6d7a80384444cb07be4e48b47854e989e47c</x:v>
      </x:c>
      <x:c r="N13" s="6" t="str">
        <x:v>2026-07-23</x:v>
      </x:c>
      <x:c r="O13" s="6" t="str">
        <x:v>经过处理的数据（公开来源）</x:v>
      </x:c>
      <x:c r="P13" s="6" t="str">
        <x:v>deterministic regex over official HTML summary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8" hidden="0" customWidth="1"/>
    <x:col min="4" max="4" width="30" hidden="0" customWidth="1"/>
    <x:col min="5" max="5" width="24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46" hidden="0" customWidth="1"/>
    <x:col min="14" max="14" width="62" hidden="0" customWidth="1"/>
    <x:col min="15" max="15" width="66" hidden="0" customWidth="1"/>
    <x:col min="16" max="16" width="14" hidden="0" customWidth="1"/>
    <x:col min="17" max="17" width="30" hidden="0" customWidth="1"/>
    <x:col min="18" max="18" width="46" hidden="0" customWidth="1"/>
  </x:cols>
  <x:sheetData>
    <x:row r="1" ht="34" customHeight="1">
      <x:c r="A1" s="12" t="str">
        <x:v>year</x:v>
      </x:c>
      <x:c r="B1" s="12" t="str">
        <x:v>geography_code</x:v>
      </x:c>
      <x:c r="C1" s="12" t="str">
        <x:v>geography</x:v>
      </x:c>
      <x:c r="D1" s="12" t="str">
        <x:v>indicator</x:v>
      </x:c>
      <x:c r="E1" s="12" t="str">
        <x:v>indicator_zh</x:v>
      </x:c>
      <x:c r="F1" s="12" t="str">
        <x:v>reported_value</x:v>
      </x:c>
      <x:c r="G1" s="12" t="str">
        <x:v>reported_unit</x:v>
      </x:c>
      <x:c r="H1" s="12" t="str">
        <x:v>normalization_multiplier</x:v>
      </x:c>
      <x:c r="I1" s="12" t="str">
        <x:v>value</x:v>
      </x:c>
      <x:c r="J1" s="12" t="str">
        <x:v>unit</x:v>
      </x:c>
      <x:c r="K1" s="12" t="str">
        <x:v>yoy_pct</x:v>
      </x:c>
      <x:c r="L1" s="12" t="str">
        <x:v>category_basis</x:v>
      </x:c>
      <x:c r="M1" s="12" t="str">
        <x:v>source_organization</x:v>
      </x:c>
      <x:c r="N1" s="12" t="str">
        <x:v>source_url</x:v>
      </x:c>
      <x:c r="O1" s="12" t="str">
        <x:v>source_sha256</x:v>
      </x:c>
      <x:c r="P1" s="12" t="str">
        <x:v>retrieved_on</x:v>
      </x:c>
      <x:c r="Q1" s="12" t="str">
        <x:v>data_label</x:v>
      </x:c>
      <x:c r="R1" s="12" t="str">
        <x:v>extraction_method</x:v>
      </x:c>
    </x:row>
    <x:row r="2" ht="26" customHeight="1">
      <x:c r="A2" s="6" t="n">
        <x:v>2025</x:v>
      </x:c>
      <x:c r="B2" s="6" t="str">
        <x:v>CHN</x:v>
      </x:c>
      <x:c r="C2" s="6" t="str">
        <x:v>China</x:v>
      </x:c>
      <x:c r="D2" s="6" t="str">
        <x:v>total_aquatic_products</x:v>
      </x:c>
      <x:c r="E2" s="6" t="str">
        <x:v>水产品总产量</x:v>
      </x:c>
      <x:c r="F2" s="18" t="n">
        <x:v>7657</x:v>
      </x:c>
      <x:c r="G2" s="18" t="str">
        <x:v>万吨</x:v>
      </x:c>
      <x:c r="H2" s="18" t="n">
        <x:v>10000</x:v>
      </x:c>
      <x:c r="I2" s="18" t="n">
        <x:v>76570000</x:v>
      </x:c>
      <x:c r="J2" s="18" t="str">
        <x:v>tonnes</x:v>
      </x:c>
      <x:c r="K2" s="18" t="n">
        <x:v>4.1</x:v>
      </x:c>
      <x:c r="L2" s="6" t="str">
        <x:v>production method</x:v>
      </x:c>
      <x:c r="M2" s="6" t="str">
        <x:v>National Bureau of Statistics of China</x:v>
      </x:c>
      <x:c r="N2" s="6" t="str">
        <x:v>https://www.stats.gov.cn/sj/zxfb/202602/t20260228_1962662.html</x:v>
      </x:c>
      <x:c r="O2" s="6" t="str">
        <x:v>de6f87a7964b23bb4f5bb51ae03e2e42844eccb8fe86112091494cc80237a3ec</x:v>
      </x:c>
      <x:c r="P2" s="6" t="str">
        <x:v>2026-07-23</x:v>
      </x:c>
      <x:c r="Q2" s="6" t="str">
        <x:v>经过处理的数据（公开来源）</x:v>
      </x:c>
      <x:c r="R2" s="6" t="str">
        <x:v>deterministic regex over official statistical communique HTML</x:v>
      </x:c>
    </x:row>
    <x:row r="3" ht="26" customHeight="1">
      <x:c r="A3" s="6" t="n">
        <x:v>2025</x:v>
      </x:c>
      <x:c r="B3" s="6" t="str">
        <x:v>CHN</x:v>
      </x:c>
      <x:c r="C3" s="6" t="str">
        <x:v>China</x:v>
      </x:c>
      <x:c r="D3" s="6" t="str">
        <x:v>aquaculture_production</x:v>
      </x:c>
      <x:c r="E3" s="6" t="str">
        <x:v>养殖产量</x:v>
      </x:c>
      <x:c r="F3" s="18" t="n">
        <x:v>6324</x:v>
      </x:c>
      <x:c r="G3" s="18" t="str">
        <x:v>万吨</x:v>
      </x:c>
      <x:c r="H3" s="18" t="n">
        <x:v>10000</x:v>
      </x:c>
      <x:c r="I3" s="18" t="n">
        <x:v>63240000</x:v>
      </x:c>
      <x:c r="J3" s="18" t="str">
        <x:v>tonnes</x:v>
      </x:c>
      <x:c r="K3" s="18" t="n">
        <x:v>4.4</x:v>
      </x:c>
      <x:c r="L3" s="6" t="str">
        <x:v>production method</x:v>
      </x:c>
      <x:c r="M3" s="6" t="str">
        <x:v>National Bureau of Statistics of China</x:v>
      </x:c>
      <x:c r="N3" s="6" t="str">
        <x:v>https://www.stats.gov.cn/sj/zxfb/202602/t20260228_1962662.html</x:v>
      </x:c>
      <x:c r="O3" s="6" t="str">
        <x:v>de6f87a7964b23bb4f5bb51ae03e2e42844eccb8fe86112091494cc80237a3ec</x:v>
      </x:c>
      <x:c r="P3" s="6" t="str">
        <x:v>2026-07-23</x:v>
      </x:c>
      <x:c r="Q3" s="6" t="str">
        <x:v>经过处理的数据（公开来源）</x:v>
      </x:c>
      <x:c r="R3" s="6" t="str">
        <x:v>deterministic regex over official statistical communique HTML</x:v>
      </x:c>
    </x:row>
    <x:row r="4" ht="26" customHeight="1">
      <x:c r="A4" s="6" t="n">
        <x:v>2025</x:v>
      </x:c>
      <x:c r="B4" s="6" t="str">
        <x:v>CHN</x:v>
      </x:c>
      <x:c r="C4" s="6" t="str">
        <x:v>China</x:v>
      </x:c>
      <x:c r="D4" s="6" t="str">
        <x:v>capture_production</x:v>
      </x:c>
      <x:c r="E4" s="6" t="str">
        <x:v>捕捞产量</x:v>
      </x:c>
      <x:c r="F4" s="18" t="n">
        <x:v>1333</x:v>
      </x:c>
      <x:c r="G4" s="18" t="str">
        <x:v>万吨</x:v>
      </x:c>
      <x:c r="H4" s="18" t="n">
        <x:v>10000</x:v>
      </x:c>
      <x:c r="I4" s="18" t="n">
        <x:v>13330000</x:v>
      </x:c>
      <x:c r="J4" s="18" t="str">
        <x:v>tonnes</x:v>
      </x:c>
      <x:c r="K4" s="18" t="n">
        <x:v>2.7</x:v>
      </x:c>
      <x:c r="L4" s="6" t="str">
        <x:v>production method</x:v>
      </x:c>
      <x:c r="M4" s="6" t="str">
        <x:v>National Bureau of Statistics of China</x:v>
      </x:c>
      <x:c r="N4" s="6" t="str">
        <x:v>https://www.stats.gov.cn/sj/zxfb/202602/t20260228_1962662.html</x:v>
      </x:c>
      <x:c r="O4" s="6" t="str">
        <x:v>de6f87a7964b23bb4f5bb51ae03e2e42844eccb8fe86112091494cc80237a3ec</x:v>
      </x:c>
      <x:c r="P4" s="6" t="str">
        <x:v>2026-07-23</x:v>
      </x:c>
      <x:c r="Q4" s="6" t="str">
        <x:v>经过处理的数据（公开来源）</x:v>
      </x:c>
      <x:c r="R4" s="6" t="str">
        <x:v>deterministic regex over official statistical communique HTML</x:v>
      </x:c>
    </x:row>
    <x:row r="5" ht="26" customHeight="1">
      <x:c r="A5" s="6" t="n">
        <x:v>2025</x:v>
      </x:c>
      <x:c r="B5" s="6" t="str">
        <x:v>CN-ZJ</x:v>
      </x:c>
      <x:c r="C5" s="6" t="str">
        <x:v>Zhejiang</x:v>
      </x:c>
      <x:c r="D5" s="6" t="str">
        <x:v>total_aquatic_products</x:v>
      </x:c>
      <x:c r="E5" s="6" t="str">
        <x:v>水产品总产量</x:v>
      </x:c>
      <x:c r="F5" s="18" t="n">
        <x:v>730</x:v>
      </x:c>
      <x:c r="G5" s="18" t="str">
        <x:v>万吨</x:v>
      </x:c>
      <x:c r="H5" s="18" t="n">
        <x:v>10000</x:v>
      </x:c>
      <x:c r="I5" s="18" t="n">
        <x:v>7300000</x:v>
      </x:c>
      <x:c r="J5" s="18" t="str">
        <x:v>tonnes</x:v>
      </x:c>
      <x:c r="K5" s="18" t="n">
        <x:v>4.5</x:v>
      </x:c>
      <x:c r="L5" s="6" t="str">
        <x:v>water body</x:v>
      </x:c>
      <x:c r="M5" s="6" t="str">
        <x:v>Zhejiang Provincial Bureau of Statistics / NBS Zhejiang Survey Office</x:v>
      </x:c>
      <x:c r="N5" s="6" t="str">
        <x:v>https://zjzd.stats.gov.cn/zwgk/zfxxgkml/tjxx/tjgb/art/2026/art_48c3c7315981425f9c25b53eab4d65d0.html</x:v>
      </x:c>
      <x:c r="O5" s="6" t="str">
        <x:v>e7b3885b1e0a8f41ac12cf0ea16df3c70bbe6ce8f9c13418a32b0807d186580e</x:v>
      </x:c>
      <x:c r="P5" s="6" t="str">
        <x:v>2026-07-23</x:v>
      </x:c>
      <x:c r="Q5" s="6" t="str">
        <x:v>经过处理的数据（公开来源）</x:v>
      </x:c>
      <x:c r="R5" s="6" t="str">
        <x:v>deterministic regex over official statistical communique HTML</x:v>
      </x:c>
    </x:row>
    <x:row r="6" ht="26" customHeight="1">
      <x:c r="A6" s="6" t="n">
        <x:v>2025</x:v>
      </x:c>
      <x:c r="B6" s="6" t="str">
        <x:v>CN-ZJ</x:v>
      </x:c>
      <x:c r="C6" s="6" t="str">
        <x:v>Zhejiang</x:v>
      </x:c>
      <x:c r="D6" s="6" t="str">
        <x:v>marine_products</x:v>
      </x:c>
      <x:c r="E6" s="6" t="str">
        <x:v>海水产品产量</x:v>
      </x:c>
      <x:c r="F6" s="18" t="n">
        <x:v>561</x:v>
      </x:c>
      <x:c r="G6" s="18" t="str">
        <x:v>万吨</x:v>
      </x:c>
      <x:c r="H6" s="18" t="n">
        <x:v>10000</x:v>
      </x:c>
      <x:c r="I6" s="18" t="n">
        <x:v>5610000</x:v>
      </x:c>
      <x:c r="J6" s="18" t="str">
        <x:v>tonnes</x:v>
      </x:c>
      <x:c r="K6" s="18" t="n">
        <x:v>4.3</x:v>
      </x:c>
      <x:c r="L6" s="6" t="str">
        <x:v>water body</x:v>
      </x:c>
      <x:c r="M6" s="6" t="str">
        <x:v>Zhejiang Provincial Bureau of Statistics / NBS Zhejiang Survey Office</x:v>
      </x:c>
      <x:c r="N6" s="6" t="str">
        <x:v>https://zjzd.stats.gov.cn/zwgk/zfxxgkml/tjxx/tjgb/art/2026/art_48c3c7315981425f9c25b53eab4d65d0.html</x:v>
      </x:c>
      <x:c r="O6" s="6" t="str">
        <x:v>e7b3885b1e0a8f41ac12cf0ea16df3c70bbe6ce8f9c13418a32b0807d186580e</x:v>
      </x:c>
      <x:c r="P6" s="6" t="str">
        <x:v>2026-07-23</x:v>
      </x:c>
      <x:c r="Q6" s="6" t="str">
        <x:v>经过处理的数据（公开来源）</x:v>
      </x:c>
      <x:c r="R6" s="6" t="str">
        <x:v>deterministic regex over official statistical communique HTML</x:v>
      </x:c>
    </x:row>
    <x:row r="7" ht="26" customHeight="1">
      <x:c r="A7" s="6" t="n">
        <x:v>2025</x:v>
      </x:c>
      <x:c r="B7" s="6" t="str">
        <x:v>CN-ZJ</x:v>
      </x:c>
      <x:c r="C7" s="6" t="str">
        <x:v>Zhejiang</x:v>
      </x:c>
      <x:c r="D7" s="6" t="str">
        <x:v>freshwater_products</x:v>
      </x:c>
      <x:c r="E7" s="6" t="str">
        <x:v>淡水产品产量</x:v>
      </x:c>
      <x:c r="F7" s="18" t="n">
        <x:v>169</x:v>
      </x:c>
      <x:c r="G7" s="18" t="str">
        <x:v>万吨</x:v>
      </x:c>
      <x:c r="H7" s="18" t="n">
        <x:v>10000</x:v>
      </x:c>
      <x:c r="I7" s="18" t="n">
        <x:v>1690000</x:v>
      </x:c>
      <x:c r="J7" s="18" t="str">
        <x:v>tonnes</x:v>
      </x:c>
      <x:c r="K7" s="18" t="n">
        <x:v>5.1</x:v>
      </x:c>
      <x:c r="L7" s="6" t="str">
        <x:v>water body</x:v>
      </x:c>
      <x:c r="M7" s="6" t="str">
        <x:v>Zhejiang Provincial Bureau of Statistics / NBS Zhejiang Survey Office</x:v>
      </x:c>
      <x:c r="N7" s="6" t="str">
        <x:v>https://zjzd.stats.gov.cn/zwgk/zfxxgkml/tjxx/tjgb/art/2026/art_48c3c7315981425f9c25b53eab4d65d0.html</x:v>
      </x:c>
      <x:c r="O7" s="6" t="str">
        <x:v>e7b3885b1e0a8f41ac12cf0ea16df3c70bbe6ce8f9c13418a32b0807d186580e</x:v>
      </x:c>
      <x:c r="P7" s="6" t="str">
        <x:v>2026-07-23</x:v>
      </x:c>
      <x:c r="Q7" s="6" t="str">
        <x:v>经过处理的数据（公开来源）</x:v>
      </x:c>
      <x:c r="R7" s="6" t="str">
        <x:v>deterministic regex over official statistical communique HTML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  <x:col min="9" max="9" width="22" hidden="0" customWidth="1"/>
    <x:col min="10" max="10" width="24" hidden="0" customWidth="1"/>
    <x:col min="11" max="11" width="26" hidden="0" customWidth="1"/>
    <x:col min="12" max="12" width="22" hidden="0" customWidth="1"/>
    <x:col min="13" max="13" width="24" hidden="0" customWidth="1"/>
    <x:col min="14" max="14" width="22" hidden="0" customWidth="1"/>
    <x:col min="15" max="15" width="26" hidden="0" customWidth="1"/>
    <x:col min="16" max="16" width="24" hidden="0" customWidth="1"/>
    <x:col min="17" max="17" width="20" hidden="0" customWidth="1"/>
    <x:col min="18" max="18" width="28" hidden="0" customWidth="1"/>
    <x:col min="19" max="19" width="24" hidden="0" customWidth="1"/>
    <x:col min="20" max="20" width="52" hidden="0" customWidth="1"/>
    <x:col min="21" max="21" width="42" hidden="0" customWidth="1"/>
    <x:col min="22" max="22" width="62" hidden="0" customWidth="1"/>
  </x:cols>
  <x:sheetData>
    <x:row r="1" ht="34" customHeight="1">
      <x:c r="A1" s="12" t="str">
        <x:v>province_code</x:v>
      </x:c>
      <x:c r="B1" s="12" t="str">
        <x:v>province_en</x:v>
      </x:c>
      <x:c r="C1" s="12" t="str">
        <x:v>province_zh</x:v>
      </x:c>
      <x:c r="D1" s="12" t="str">
        <x:v>year</x:v>
      </x:c>
      <x:c r="E1" s="12" t="str">
        <x:v>aquatic_total_10000_t</x:v>
      </x:c>
      <x:c r="F1" s="12" t="str">
        <x:v>marine_total_10000_t</x:v>
      </x:c>
      <x:c r="G1" s="12" t="str">
        <x:v>marine_capture_10000_t</x:v>
      </x:c>
      <x:c r="H1" s="12" t="str">
        <x:v>marine_aquaculture_10000_t</x:v>
      </x:c>
      <x:c r="I1" s="12" t="str">
        <x:v>freshwater_total_10000_t</x:v>
      </x:c>
      <x:c r="J1" s="12" t="str">
        <x:v>freshwater_capture_10000_t</x:v>
      </x:c>
      <x:c r="K1" s="12" t="str">
        <x:v>freshwater_aquaculture_10000_t</x:v>
      </x:c>
      <x:c r="L1" s="12" t="str">
        <x:v>population_10000_persons</x:v>
      </x:c>
      <x:c r="M1" s="12" t="str">
        <x:v>disposable_income_yuan</x:v>
      </x:c>
      <x:c r="N1" s="12" t="str">
        <x:v>wastewater_cod_tonnes</x:v>
      </x:c>
      <x:c r="O1" s="12" t="str">
        <x:v>wastewater_total_phosphorus_tonnes</x:v>
      </x:c>
      <x:c r="P1" s="12" t="str">
        <x:v>freight_total_10000_tonnes</x:v>
      </x:c>
      <x:c r="Q1" s="12" t="str">
        <x:v>enterprises_units</x:v>
      </x:c>
      <x:c r="R1" s="12" t="str">
        <x:v>ecommerce_enterprises_units</x:v>
      </x:c>
      <x:c r="S1" s="12" t="str">
        <x:v>ecommerce_sales_100m_yuan</x:v>
      </x:c>
      <x:c r="T1" s="12" t="str">
        <x:v>source_tables</x:v>
      </x:c>
      <x:c r="U1" s="12" t="str">
        <x:v>data_status</x:v>
      </x:c>
      <x:c r="V1" s="12" t="str">
        <x:v>transcription_note</x:v>
      </x:c>
    </x:row>
    <x:row r="2" ht="42" customHeight="1">
      <x:c r="A2" s="8" t="str">
        <x:v>CN-BJ</x:v>
      </x:c>
      <x:c r="B2" s="8" t="str">
        <x:v>Beijing</x:v>
      </x:c>
      <x:c r="C2" s="8" t="str">
        <x:v>北京</x:v>
      </x:c>
      <x:c r="D2" s="20" t="n">
        <x:v>2024</x:v>
      </x:c>
      <x:c r="E2" s="22" t="n">
        <x:v>7.1</x:v>
      </x:c>
      <x:c r="F2" s="22" t="n">
        <x:v>5.7</x:v>
      </x:c>
      <x:c r="G2" s="22" t="n">
        <x:v>5.7</x:v>
      </x:c>
      <x:c r="H2" s="22" t="n">
        <x:v>0</x:v>
      </x:c>
      <x:c r="I2" s="22" t="n">
        <x:v>1.4</x:v>
      </x:c>
      <x:c r="J2" s="22" t="n">
        <x:v>0.2</x:v>
      </x:c>
      <x:c r="K2" s="22" t="n">
        <x:v>1.2</x:v>
      </x:c>
      <x:c r="L2" s="22" t="n">
        <x:v>2183</x:v>
      </x:c>
      <x:c r="M2" s="22" t="n">
        <x:v>85415</x:v>
      </x:c>
      <x:c r="N2" s="22" t="n">
        <x:v>114599</x:v>
      </x:c>
      <x:c r="O2" s="22" t="n">
        <x:v>1185</x:v>
      </x:c>
      <x:c r="P2" s="22" t="n">
        <x:v>19956</x:v>
      </x:c>
      <x:c r="Q2" s="22" t="n">
        <x:v>49504</x:v>
      </x:c>
      <x:c r="R2" s="22" t="n">
        <x:v>11528</x:v>
      </x:c>
      <x:c r="S2" s="22" t="n">
        <x:v>46980.2</x:v>
      </x:c>
      <x:c r="T2" s="8" t="str">
        <x:v>NBS 2025 Tables 2-5; 6-18; 8-10; 12-15; 16-13; 16-39</x:v>
      </x:c>
      <x:c r="U2" s="8" t="str">
        <x:v>official public data; manually transcribed and double-checked</x:v>
      </x:c>
      <x:c r="V2" s="8" t="str">
        <x:v>Values retain the units printed by NBS; component totals can differ by 0.1 because the source is rounded to one decimal place.</x:v>
      </x:c>
    </x:row>
    <x:row r="3" ht="42" customHeight="1">
      <x:c r="A3" s="8" t="str">
        <x:v>CN-TJ</x:v>
      </x:c>
      <x:c r="B3" s="8" t="str">
        <x:v>Tianjin</x:v>
      </x:c>
      <x:c r="C3" s="8" t="str">
        <x:v>天津</x:v>
      </x:c>
      <x:c r="D3" s="20" t="n">
        <x:v>2024</x:v>
      </x:c>
      <x:c r="E3" s="22" t="n">
        <x:v>29.9</x:v>
      </x:c>
      <x:c r="F3" s="22" t="n">
        <x:v>4.5</x:v>
      </x:c>
      <x:c r="G3" s="22" t="n">
        <x:v>3.3</x:v>
      </x:c>
      <x:c r="H3" s="22" t="n">
        <x:v>1.2</x:v>
      </x:c>
      <x:c r="I3" s="22" t="n">
        <x:v>25.4</x:v>
      </x:c>
      <x:c r="J3" s="22" t="n">
        <x:v>0.3</x:v>
      </x:c>
      <x:c r="K3" s="22" t="n">
        <x:v>25.1</x:v>
      </x:c>
      <x:c r="L3" s="22" t="n">
        <x:v>1364</x:v>
      </x:c>
      <x:c r="M3" s="22" t="n">
        <x:v>53581</x:v>
      </x:c>
      <x:c r="N3" s="22" t="n">
        <x:v>189195</x:v>
      </x:c>
      <x:c r="O3" s="22" t="n">
        <x:v>2054</x:v>
      </x:c>
      <x:c r="P3" s="22" t="n">
        <x:v>58602</x:v>
      </x:c>
      <x:c r="Q3" s="22" t="n">
        <x:v>29626</x:v>
      </x:c>
      <x:c r="R3" s="22" t="n">
        <x:v>2619</x:v>
      </x:c>
      <x:c r="S3" s="22" t="n">
        <x:v>8126.2</x:v>
      </x:c>
      <x:c r="T3" s="8" t="str">
        <x:v>NBS 2025 Tables 2-5; 6-18; 8-10; 12-15; 16-13; 16-39</x:v>
      </x:c>
      <x:c r="U3" s="8" t="str">
        <x:v>official public data; manually transcribed and double-checked</x:v>
      </x:c>
      <x:c r="V3" s="8" t="str">
        <x:v>Values retain the units printed by NBS; component totals can differ by 0.1 because the source is rounded to one decimal place.</x:v>
      </x:c>
    </x:row>
    <x:row r="4" ht="42" customHeight="1">
      <x:c r="A4" s="8" t="str">
        <x:v>CN-HE</x:v>
      </x:c>
      <x:c r="B4" s="8" t="str">
        <x:v>Hebei</x:v>
      </x:c>
      <x:c r="C4" s="8" t="str">
        <x:v>河北</x:v>
      </x:c>
      <x:c r="D4" s="20" t="n">
        <x:v>2024</x:v>
      </x:c>
      <x:c r="E4" s="22" t="n">
        <x:v>118</x:v>
      </x:c>
      <x:c r="F4" s="22" t="n">
        <x:v>85.4</x:v>
      </x:c>
      <x:c r="G4" s="22" t="n">
        <x:v>22.1</x:v>
      </x:c>
      <x:c r="H4" s="22" t="n">
        <x:v>63.3</x:v>
      </x:c>
      <x:c r="I4" s="22" t="n">
        <x:v>32.6</x:v>
      </x:c>
      <x:c r="J4" s="22" t="n">
        <x:v>4.5</x:v>
      </x:c>
      <x:c r="K4" s="22" t="n">
        <x:v>28.1</x:v>
      </x:c>
      <x:c r="L4" s="22" t="n">
        <x:v>7378</x:v>
      </x:c>
      <x:c r="M4" s="22" t="n">
        <x:v>34665</x:v>
      </x:c>
      <x:c r="N4" s="22" t="n">
        <x:v>1536069</x:v>
      </x:c>
      <x:c r="O4" s="22" t="n">
        <x:v>16123</x:v>
      </x:c>
      <x:c r="P4" s="22" t="n">
        <x:v>270712</x:v>
      </x:c>
      <x:c r="Q4" s="22" t="n">
        <x:v>43022</x:v>
      </x:c>
      <x:c r="R4" s="22" t="n">
        <x:v>3671</x:v>
      </x:c>
      <x:c r="S4" s="22" t="n">
        <x:v>4056.8</x:v>
      </x:c>
      <x:c r="T4" s="8" t="str">
        <x:v>NBS 2025 Tables 2-5; 6-18; 8-10; 12-15; 16-13; 16-39</x:v>
      </x:c>
      <x:c r="U4" s="8" t="str">
        <x:v>official public data; manually transcribed and double-checked</x:v>
      </x:c>
      <x:c r="V4" s="8" t="str">
        <x:v>Values retain the units printed by NBS; component totals can differ by 0.1 because the source is rounded to one decimal place.</x:v>
      </x:c>
    </x:row>
    <x:row r="5" ht="42" customHeight="1">
      <x:c r="A5" s="8" t="str">
        <x:v>CN-SX</x:v>
      </x:c>
      <x:c r="B5" s="8" t="str">
        <x:v>Shanxi</x:v>
      </x:c>
      <x:c r="C5" s="8" t="str">
        <x:v>山西</x:v>
      </x:c>
      <x:c r="D5" s="20" t="n">
        <x:v>2024</x:v>
      </x:c>
      <x:c r="E5" s="22" t="n">
        <x:v>5.8</x:v>
      </x:c>
      <x:c r="F5" s="22" t="n">
        <x:v>0</x:v>
      </x:c>
      <x:c r="G5" s="22" t="n">
        <x:v>0</x:v>
      </x:c>
      <x:c r="H5" s="22" t="n">
        <x:v>0</x:v>
      </x:c>
      <x:c r="I5" s="22" t="n">
        <x:v>5.8</x:v>
      </x:c>
      <x:c r="J5" s="22" t="n">
        <x:v>0</x:v>
      </x:c>
      <x:c r="K5" s="22" t="n">
        <x:v>5.8</x:v>
      </x:c>
      <x:c r="L5" s="22" t="n">
        <x:v>3446</x:v>
      </x:c>
      <x:c r="M5" s="22" t="n">
        <x:v>32441</x:v>
      </x:c>
      <x:c r="N5" s="22" t="n">
        <x:v>793400</x:v>
      </x:c>
      <x:c r="O5" s="22" t="n">
        <x:v>9288</x:v>
      </x:c>
      <x:c r="P5" s="22" t="n">
        <x:v>224552</x:v>
      </x:c>
      <x:c r="Q5" s="22" t="n">
        <x:v>28985</x:v>
      </x:c>
      <x:c r="R5" s="22" t="n">
        <x:v>2600</x:v>
      </x:c>
      <x:c r="S5" s="22" t="n">
        <x:v>6152.9</x:v>
      </x:c>
      <x:c r="T5" s="8" t="str">
        <x:v>NBS 2025 Tables 2-5; 6-18; 8-10; 12-15; 16-13; 16-39</x:v>
      </x:c>
      <x:c r="U5" s="8" t="str">
        <x:v>official public data; manually transcribed and double-checked</x:v>
      </x:c>
      <x:c r="V5" s="8" t="str">
        <x:v>Values retain the units printed by NBS; component totals can differ by 0.1 because the source is rounded to one decimal place.</x:v>
      </x:c>
    </x:row>
    <x:row r="6" ht="42" customHeight="1">
      <x:c r="A6" s="8" t="str">
        <x:v>CN-NM</x:v>
      </x:c>
      <x:c r="B6" s="8" t="str">
        <x:v>Inner Mongolia</x:v>
      </x:c>
      <x:c r="C6" s="8" t="str">
        <x:v>内蒙古</x:v>
      </x:c>
      <x:c r="D6" s="20" t="n">
        <x:v>2024</x:v>
      </x:c>
      <x:c r="E6" s="22" t="n">
        <x:v>11.6</x:v>
      </x:c>
      <x:c r="F6" s="22" t="n">
        <x:v>0</x:v>
      </x:c>
      <x:c r="G6" s="22" t="n">
        <x:v>0</x:v>
      </x:c>
      <x:c r="H6" s="22" t="n">
        <x:v>0</x:v>
      </x:c>
      <x:c r="I6" s="22" t="n">
        <x:v>11.6</x:v>
      </x:c>
      <x:c r="J6" s="22" t="n">
        <x:v>1.1</x:v>
      </x:c>
      <x:c r="K6" s="22" t="n">
        <x:v>10.4</x:v>
      </x:c>
      <x:c r="L6" s="22" t="n">
        <x:v>2388</x:v>
      </x:c>
      <x:c r="M6" s="22" t="n">
        <x:v>40077</x:v>
      </x:c>
      <x:c r="N6" s="22" t="n">
        <x:v>906870</x:v>
      </x:c>
      <x:c r="O6" s="22" t="n">
        <x:v>5604</x:v>
      </x:c>
      <x:c r="P6" s="22" t="n">
        <x:v>251474</x:v>
      </x:c>
      <x:c r="Q6" s="22" t="n">
        <x:v>13949</x:v>
      </x:c>
      <x:c r="R6" s="22" t="n">
        <x:v>1521</x:v>
      </x:c>
      <x:c r="S6" s="22" t="n">
        <x:v>6194.2</x:v>
      </x:c>
      <x:c r="T6" s="8" t="str">
        <x:v>NBS 2025 Tables 2-5; 6-18; 8-10; 12-15; 16-13; 16-39</x:v>
      </x:c>
      <x:c r="U6" s="8" t="str">
        <x:v>official public data; manually transcribed and double-checked</x:v>
      </x:c>
      <x:c r="V6" s="8" t="str">
        <x:v>Values retain the units printed by NBS; component totals can differ by 0.1 because the source is rounded to one decimal place.</x:v>
      </x:c>
    </x:row>
    <x:row r="7" ht="42" customHeight="1">
      <x:c r="A7" s="8" t="str">
        <x:v>CN-LN</x:v>
      </x:c>
      <x:c r="B7" s="8" t="str">
        <x:v>Liaoning</x:v>
      </x:c>
      <x:c r="C7" s="8" t="str">
        <x:v>辽宁</x:v>
      </x:c>
      <x:c r="D7" s="20" t="n">
        <x:v>2024</x:v>
      </x:c>
      <x:c r="E7" s="22" t="n">
        <x:v>535.9</x:v>
      </x:c>
      <x:c r="F7" s="22" t="n">
        <x:v>452</x:v>
      </x:c>
      <x:c r="G7" s="22" t="n">
        <x:v>69.7</x:v>
      </x:c>
      <x:c r="H7" s="22" t="n">
        <x:v>382.3</x:v>
      </x:c>
      <x:c r="I7" s="22" t="n">
        <x:v>83.9</x:v>
      </x:c>
      <x:c r="J7" s="22" t="n">
        <x:v>3.3</x:v>
      </x:c>
      <x:c r="K7" s="22" t="n">
        <x:v>80.6</x:v>
      </x:c>
      <x:c r="L7" s="22" t="n">
        <x:v>4155</x:v>
      </x:c>
      <x:c r="M7" s="22" t="n">
        <x:v>39844</x:v>
      </x:c>
      <x:c r="N7" s="22" t="n">
        <x:v>1372012</x:v>
      </x:c>
      <x:c r="O7" s="22" t="n">
        <x:v>15537</x:v>
      </x:c>
      <x:c r="P7" s="22" t="n">
        <x:v>185682</x:v>
      </x:c>
      <x:c r="Q7" s="22" t="n">
        <x:v>33151</x:v>
      </x:c>
      <x:c r="R7" s="22" t="n">
        <x:v>2759</x:v>
      </x:c>
      <x:c r="S7" s="22" t="n">
        <x:v>6954.6</x:v>
      </x:c>
      <x:c r="T7" s="8" t="str">
        <x:v>NBS 2025 Tables 2-5; 6-18; 8-10; 12-15; 16-13; 16-39</x:v>
      </x:c>
      <x:c r="U7" s="8" t="str">
        <x:v>official public data; manually transcribed and double-checked</x:v>
      </x:c>
      <x:c r="V7" s="8" t="str">
        <x:v>Values retain the units printed by NBS; component totals can differ by 0.1 because the source is rounded to one decimal place.</x:v>
      </x:c>
    </x:row>
    <x:row r="8" ht="42" customHeight="1">
      <x:c r="A8" s="8" t="str">
        <x:v>CN-JL</x:v>
      </x:c>
      <x:c r="B8" s="8" t="str">
        <x:v>Jilin</x:v>
      </x:c>
      <x:c r="C8" s="8" t="str">
        <x:v>吉林</x:v>
      </x:c>
      <x:c r="D8" s="20" t="n">
        <x:v>2024</x:v>
      </x:c>
      <x:c r="E8" s="22" t="n">
        <x:v>26.6</x:v>
      </x:c>
      <x:c r="F8" s="22" t="n">
        <x:v>0</x:v>
      </x:c>
      <x:c r="G8" s="22" t="n">
        <x:v>0</x:v>
      </x:c>
      <x:c r="H8" s="22" t="n">
        <x:v>0</x:v>
      </x:c>
      <x:c r="I8" s="22" t="n">
        <x:v>26.6</x:v>
      </x:c>
      <x:c r="J8" s="22" t="n">
        <x:v>1.8</x:v>
      </x:c>
      <x:c r="K8" s="22" t="n">
        <x:v>24.8</x:v>
      </x:c>
      <x:c r="L8" s="22" t="n">
        <x:v>2317</x:v>
      </x:c>
      <x:c r="M8" s="22" t="n">
        <x:v>31318</x:v>
      </x:c>
      <x:c r="N8" s="22" t="n">
        <x:v>899449</x:v>
      </x:c>
      <x:c r="O8" s="22" t="n">
        <x:v>7346</x:v>
      </x:c>
      <x:c r="P8" s="22" t="n">
        <x:v>55578</x:v>
      </x:c>
      <x:c r="Q8" s="22" t="n">
        <x:v>13240</x:v>
      </x:c>
      <x:c r="R8" s="22" t="n">
        <x:v>1018</x:v>
      </x:c>
      <x:c r="S8" s="22" t="n">
        <x:v>1322.6</x:v>
      </x:c>
      <x:c r="T8" s="8" t="str">
        <x:v>NBS 2025 Tables 2-5; 6-18; 8-10; 12-15; 16-13; 16-39</x:v>
      </x:c>
      <x:c r="U8" s="8" t="str">
        <x:v>official public data; manually transcribed and double-checked</x:v>
      </x:c>
      <x:c r="V8" s="8" t="str">
        <x:v>Values retain the units printed by NBS; component totals can differ by 0.1 because the source is rounded to one decimal place.</x:v>
      </x:c>
    </x:row>
    <x:row r="9" ht="42" customHeight="1">
      <x:c r="A9" s="8" t="str">
        <x:v>CN-HL</x:v>
      </x:c>
      <x:c r="B9" s="8" t="str">
        <x:v>Heilongjiang</x:v>
      </x:c>
      <x:c r="C9" s="8" t="str">
        <x:v>黑龙江</x:v>
      </x:c>
      <x:c r="D9" s="20" t="n">
        <x:v>2024</x:v>
      </x:c>
      <x:c r="E9" s="22" t="n">
        <x:v>81.4</x:v>
      </x:c>
      <x:c r="F9" s="22" t="n">
        <x:v>0</x:v>
      </x:c>
      <x:c r="G9" s="22" t="n">
        <x:v>0</x:v>
      </x:c>
      <x:c r="H9" s="22" t="n">
        <x:v>0</x:v>
      </x:c>
      <x:c r="I9" s="22" t="n">
        <x:v>81.4</x:v>
      </x:c>
      <x:c r="J9" s="22" t="n">
        <x:v>5.1</x:v>
      </x:c>
      <x:c r="K9" s="22" t="n">
        <x:v>76.3</x:v>
      </x:c>
      <x:c r="L9" s="22" t="n">
        <x:v>3029</x:v>
      </x:c>
      <x:c r="M9" s="22" t="n">
        <x:v>31269</x:v>
      </x:c>
      <x:c r="N9" s="22" t="n">
        <x:v>1004969</x:v>
      </x:c>
      <x:c r="O9" s="22" t="n">
        <x:v>9166</x:v>
      </x:c>
      <x:c r="P9" s="22" t="n">
        <x:v>55452</x:v>
      </x:c>
      <x:c r="Q9" s="22" t="n">
        <x:v>15078</x:v>
      </x:c>
      <x:c r="R9" s="22" t="n">
        <x:v>1263</x:v>
      </x:c>
      <x:c r="S9" s="22" t="n">
        <x:v>1372.8</x:v>
      </x:c>
      <x:c r="T9" s="8" t="str">
        <x:v>NBS 2025 Tables 2-5; 6-18; 8-10; 12-15; 16-13; 16-39</x:v>
      </x:c>
      <x:c r="U9" s="8" t="str">
        <x:v>official public data; manually transcribed and double-checked</x:v>
      </x:c>
      <x:c r="V9" s="8" t="str">
        <x:v>Values retain the units printed by NBS; component totals can differ by 0.1 because the source is rounded to one decimal place.</x:v>
      </x:c>
    </x:row>
    <x:row r="10" ht="42" customHeight="1">
      <x:c r="A10" s="8" t="str">
        <x:v>CN-SH</x:v>
      </x:c>
      <x:c r="B10" s="8" t="str">
        <x:v>Shanghai</x:v>
      </x:c>
      <x:c r="C10" s="8" t="str">
        <x:v>上海</x:v>
      </x:c>
      <x:c r="D10" s="20" t="n">
        <x:v>2024</x:v>
      </x:c>
      <x:c r="E10" s="22" t="n">
        <x:v>22</x:v>
      </x:c>
      <x:c r="F10" s="22" t="n">
        <x:v>12.1</x:v>
      </x:c>
      <x:c r="G10" s="22" t="n">
        <x:v>12.1</x:v>
      </x:c>
      <x:c r="H10" s="22" t="n">
        <x:v>0</x:v>
      </x:c>
      <x:c r="I10" s="22" t="n">
        <x:v>10</x:v>
      </x:c>
      <x:c r="J10" s="22" t="n">
        <x:v>0</x:v>
      </x:c>
      <x:c r="K10" s="22" t="n">
        <x:v>9.9</x:v>
      </x:c>
      <x:c r="L10" s="22" t="n">
        <x:v>2480</x:v>
      </x:c>
      <x:c r="M10" s="22" t="n">
        <x:v>88366</x:v>
      </x:c>
      <x:c r="N10" s="22" t="n">
        <x:v>130709</x:v>
      </x:c>
      <x:c r="O10" s="22" t="n">
        <x:v>1617</x:v>
      </x:c>
      <x:c r="P10" s="22" t="n">
        <x:v>155511</x:v>
      </x:c>
      <x:c r="Q10" s="22" t="n">
        <x:v>57286</x:v>
      </x:c>
      <x:c r="R10" s="22" t="n">
        <x:v>8479</x:v>
      </x:c>
      <x:c r="S10" s="22" t="n">
        <x:v>46683.4</x:v>
      </x:c>
      <x:c r="T10" s="8" t="str">
        <x:v>NBS 2025 Tables 2-5; 6-18; 8-10; 12-15; 16-13; 16-39</x:v>
      </x:c>
      <x:c r="U10" s="8" t="str">
        <x:v>official public data; manually transcribed and double-checked</x:v>
      </x:c>
      <x:c r="V10" s="8" t="str">
        <x:v>Values retain the units printed by NBS; component totals can differ by 0.1 because the source is rounded to one decimal place.</x:v>
      </x:c>
    </x:row>
    <x:row r="11" ht="42" customHeight="1">
      <x:c r="A11" s="8" t="str">
        <x:v>CN-JS</x:v>
      </x:c>
      <x:c r="B11" s="8" t="str">
        <x:v>Jiangsu</x:v>
      </x:c>
      <x:c r="C11" s="8" t="str">
        <x:v>江苏</x:v>
      </x:c>
      <x:c r="D11" s="20" t="n">
        <x:v>2024</x:v>
      </x:c>
      <x:c r="E11" s="22" t="n">
        <x:v>536.1</x:v>
      </x:c>
      <x:c r="F11" s="22" t="n">
        <x:v>148.1</x:v>
      </x:c>
      <x:c r="G11" s="22" t="n">
        <x:v>45.8</x:v>
      </x:c>
      <x:c r="H11" s="22" t="n">
        <x:v>102.3</x:v>
      </x:c>
      <x:c r="I11" s="22" t="n">
        <x:v>388</x:v>
      </x:c>
      <x:c r="J11" s="22" t="n">
        <x:v>18.5</x:v>
      </x:c>
      <x:c r="K11" s="22" t="n">
        <x:v>369.4</x:v>
      </x:c>
      <x:c r="L11" s="22" t="n">
        <x:v>8526</x:v>
      </x:c>
      <x:c r="M11" s="22" t="n">
        <x:v>55415</x:v>
      </x:c>
      <x:c r="N11" s="22" t="n">
        <x:v>1206340</x:v>
      </x:c>
      <x:c r="O11" s="22" t="n">
        <x:v>18831</x:v>
      </x:c>
      <x:c r="P11" s="22" t="n">
        <x:v>319944</x:v>
      </x:c>
      <x:c r="Q11" s="22" t="n">
        <x:v>185646</x:v>
      </x:c>
      <x:c r="R11" s="22" t="n">
        <x:v>21199</x:v>
      </x:c>
      <x:c r="S11" s="22" t="n">
        <x:v>30208.7</x:v>
      </x:c>
      <x:c r="T11" s="8" t="str">
        <x:v>NBS 2025 Tables 2-5; 6-18; 8-10; 12-15; 16-13; 16-39</x:v>
      </x:c>
      <x:c r="U11" s="8" t="str">
        <x:v>official public data; manually transcribed and double-checked</x:v>
      </x:c>
      <x:c r="V11" s="8" t="str">
        <x:v>Values retain the units printed by NBS; component totals can differ by 0.1 because the source is rounded to one decimal place.</x:v>
      </x:c>
    </x:row>
    <x:row r="12" ht="42" customHeight="1">
      <x:c r="A12" s="8" t="str">
        <x:v>CN-ZJ</x:v>
      </x:c>
      <x:c r="B12" s="8" t="str">
        <x:v>Zhejiang</x:v>
      </x:c>
      <x:c r="C12" s="8" t="str">
        <x:v>浙江</x:v>
      </x:c>
      <x:c r="D12" s="20" t="n">
        <x:v>2024</x:v>
      </x:c>
      <x:c r="E12" s="22" t="n">
        <x:v>649.5</x:v>
      </x:c>
      <x:c r="F12" s="22" t="n">
        <x:v>488.5</x:v>
      </x:c>
      <x:c r="G12" s="22" t="n">
        <x:v>316.3</x:v>
      </x:c>
      <x:c r="H12" s="22" t="n">
        <x:v>172.2</x:v>
      </x:c>
      <x:c r="I12" s="22" t="n">
        <x:v>161</x:v>
      </x:c>
      <x:c r="J12" s="22" t="n">
        <x:v>17.1</x:v>
      </x:c>
      <x:c r="K12" s="22" t="n">
        <x:v>144</x:v>
      </x:c>
      <x:c r="L12" s="22" t="n">
        <x:v>6670</x:v>
      </x:c>
      <x:c r="M12" s="22" t="n">
        <x:v>67013</x:v>
      </x:c>
      <x:c r="N12" s="22" t="n">
        <x:v>514440</x:v>
      </x:c>
      <x:c r="O12" s="22" t="n">
        <x:v>12599</x:v>
      </x:c>
      <x:c r="P12" s="22" t="n">
        <x:v>371158</x:v>
      </x:c>
      <x:c r="Q12" s="22" t="n">
        <x:v>139433</x:v>
      </x:c>
      <x:c r="R12" s="22" t="n">
        <x:v>19861</x:v>
      </x:c>
      <x:c r="S12" s="22" t="n">
        <x:v>27311.2</x:v>
      </x:c>
      <x:c r="T12" s="8" t="str">
        <x:v>NBS 2025 Tables 2-5; 6-18; 8-10; 12-15; 16-13; 16-39</x:v>
      </x:c>
      <x:c r="U12" s="8" t="str">
        <x:v>official public data; manually transcribed and double-checked</x:v>
      </x:c>
      <x:c r="V12" s="8" t="str">
        <x:v>Values retain the units printed by NBS; component totals can differ by 0.1 because the source is rounded to one decimal place.</x:v>
      </x:c>
    </x:row>
    <x:row r="13" ht="42" customHeight="1">
      <x:c r="A13" s="8" t="str">
        <x:v>CN-AH</x:v>
      </x:c>
      <x:c r="B13" s="8" t="str">
        <x:v>Anhui</x:v>
      </x:c>
      <x:c r="C13" s="8" t="str">
        <x:v>安徽</x:v>
      </x:c>
      <x:c r="D13" s="20" t="n">
        <x:v>2024</x:v>
      </x:c>
      <x:c r="E13" s="22" t="n">
        <x:v>261.2</x:v>
      </x:c>
      <x:c r="F13" s="22" t="n">
        <x:v>0</x:v>
      </x:c>
      <x:c r="G13" s="22" t="n">
        <x:v>0</x:v>
      </x:c>
      <x:c r="H13" s="22" t="n">
        <x:v>0</x:v>
      </x:c>
      <x:c r="I13" s="22" t="n">
        <x:v>261.2</x:v>
      </x:c>
      <x:c r="J13" s="22" t="n">
        <x:v>9.8</x:v>
      </x:c>
      <x:c r="K13" s="22" t="n">
        <x:v>251.4</x:v>
      </x:c>
      <x:c r="L13" s="22" t="n">
        <x:v>6123</x:v>
      </x:c>
      <x:c r="M13" s="22" t="n">
        <x:v>36782</x:v>
      </x:c>
      <x:c r="N13" s="22" t="n">
        <x:v>1397464</x:v>
      </x:c>
      <x:c r="O13" s="22" t="n">
        <x:v>22504</x:v>
      </x:c>
      <x:c r="P13" s="22" t="n">
        <x:v>441542</x:v>
      </x:c>
      <x:c r="Q13" s="22" t="n">
        <x:v>58921</x:v>
      </x:c>
      <x:c r="R13" s="22" t="n">
        <x:v>7057</x:v>
      </x:c>
      <x:c r="S13" s="22" t="n">
        <x:v>11568.9</x:v>
      </x:c>
      <x:c r="T13" s="8" t="str">
        <x:v>NBS 2025 Tables 2-5; 6-18; 8-10; 12-15; 16-13; 16-39</x:v>
      </x:c>
      <x:c r="U13" s="8" t="str">
        <x:v>official public data; manually transcribed and double-checked</x:v>
      </x:c>
      <x:c r="V13" s="8" t="str">
        <x:v>Values retain the units printed by NBS; component totals can differ by 0.1 because the source is rounded to one decimal place.</x:v>
      </x:c>
    </x:row>
    <x:row r="14" ht="42" customHeight="1">
      <x:c r="A14" s="8" t="str">
        <x:v>CN-FJ</x:v>
      </x:c>
      <x:c r="B14" s="8" t="str">
        <x:v>Fujian</x:v>
      </x:c>
      <x:c r="C14" s="8" t="str">
        <x:v>福建</x:v>
      </x:c>
      <x:c r="D14" s="20" t="n">
        <x:v>2024</x:v>
      </x:c>
      <x:c r="E14" s="22" t="n">
        <x:v>924.7</x:v>
      </x:c>
      <x:c r="F14" s="22" t="n">
        <x:v>818.7</x:v>
      </x:c>
      <x:c r="G14" s="22" t="n">
        <x:v>205.4</x:v>
      </x:c>
      <x:c r="H14" s="22" t="n">
        <x:v>613.3</x:v>
      </x:c>
      <x:c r="I14" s="22" t="n">
        <x:v>106</x:v>
      </x:c>
      <x:c r="J14" s="22" t="n">
        <x:v>7.3</x:v>
      </x:c>
      <x:c r="K14" s="22" t="n">
        <x:v>98.7</x:v>
      </x:c>
      <x:c r="L14" s="22" t="n">
        <x:v>4193</x:v>
      </x:c>
      <x:c r="M14" s="22" t="n">
        <x:v>47857</x:v>
      </x:c>
      <x:c r="N14" s="22" t="n">
        <x:v>602380</x:v>
      </x:c>
      <x:c r="O14" s="22" t="n">
        <x:v>15302</x:v>
      </x:c>
      <x:c r="P14" s="22" t="n">
        <x:v>183536</x:v>
      </x:c>
      <x:c r="Q14" s="22" t="n">
        <x:v>73324</x:v>
      </x:c>
      <x:c r="R14" s="22" t="n">
        <x:v>9134</x:v>
      </x:c>
      <x:c r="S14" s="22" t="n">
        <x:v>13504.5</x:v>
      </x:c>
      <x:c r="T14" s="8" t="str">
        <x:v>NBS 2025 Tables 2-5; 6-18; 8-10; 12-15; 16-13; 16-39</x:v>
      </x:c>
      <x:c r="U14" s="8" t="str">
        <x:v>official public data; manually transcribed and double-checked</x:v>
      </x:c>
      <x:c r="V14" s="8" t="str">
        <x:v>Values retain the units printed by NBS; component totals can differ by 0.1 because the source is rounded to one decimal place.</x:v>
      </x:c>
    </x:row>
    <x:row r="15" ht="42" customHeight="1">
      <x:c r="A15" s="8" t="str">
        <x:v>CN-JX</x:v>
      </x:c>
      <x:c r="B15" s="8" t="str">
        <x:v>Jiangxi</x:v>
      </x:c>
      <x:c r="C15" s="8" t="str">
        <x:v>江西</x:v>
      </x:c>
      <x:c r="D15" s="20" t="n">
        <x:v>2024</x:v>
      </x:c>
      <x:c r="E15" s="22" t="n">
        <x:v>303.3</x:v>
      </x:c>
      <x:c r="F15" s="22" t="n">
        <x:v>0</x:v>
      </x:c>
      <x:c r="G15" s="22" t="n">
        <x:v>0</x:v>
      </x:c>
      <x:c r="H15" s="22" t="n">
        <x:v>0</x:v>
      </x:c>
      <x:c r="I15" s="22" t="n">
        <x:v>303.3</x:v>
      </x:c>
      <x:c r="J15" s="22" t="n">
        <x:v>1</x:v>
      </x:c>
      <x:c r="K15" s="22" t="n">
        <x:v>302.2</x:v>
      </x:c>
      <x:c r="L15" s="22" t="n">
        <x:v>4502</x:v>
      </x:c>
      <x:c r="M15" s="22" t="n">
        <x:v>36007</x:v>
      </x:c>
      <x:c r="N15" s="22" t="n">
        <x:v>1044465</x:v>
      </x:c>
      <x:c r="O15" s="22" t="n">
        <x:v>17393</x:v>
      </x:c>
      <x:c r="P15" s="22" t="n">
        <x:v>215859</x:v>
      </x:c>
      <x:c r="Q15" s="22" t="n">
        <x:v>54180</x:v>
      </x:c>
      <x:c r="R15" s="22" t="n">
        <x:v>6792</x:v>
      </x:c>
      <x:c r="S15" s="22" t="n">
        <x:v>4765.4</x:v>
      </x:c>
      <x:c r="T15" s="8" t="str">
        <x:v>NBS 2025 Tables 2-5; 6-18; 8-10; 12-15; 16-13; 16-39</x:v>
      </x:c>
      <x:c r="U15" s="8" t="str">
        <x:v>official public data; manually transcribed and double-checked</x:v>
      </x:c>
      <x:c r="V15" s="8" t="str">
        <x:v>Values retain the units printed by NBS; component totals can differ by 0.1 because the source is rounded to one decimal place.</x:v>
      </x:c>
    </x:row>
    <x:row r="16" ht="42" customHeight="1">
      <x:c r="A16" s="8" t="str">
        <x:v>CN-SD</x:v>
      </x:c>
      <x:c r="B16" s="8" t="str">
        <x:v>Shandong</x:v>
      </x:c>
      <x:c r="C16" s="8" t="str">
        <x:v>山东</x:v>
      </x:c>
      <x:c r="D16" s="20" t="n">
        <x:v>2024</x:v>
      </x:c>
      <x:c r="E16" s="22" t="n">
        <x:v>952.7</x:v>
      </x:c>
      <x:c r="F16" s="22" t="n">
        <x:v>825.2</x:v>
      </x:c>
      <x:c r="G16" s="22" t="n">
        <x:v>219</x:v>
      </x:c>
      <x:c r="H16" s="22" t="n">
        <x:v>606.3</x:v>
      </x:c>
      <x:c r="I16" s="22" t="n">
        <x:v>127.5</x:v>
      </x:c>
      <x:c r="J16" s="22" t="n">
        <x:v>10.8</x:v>
      </x:c>
      <x:c r="K16" s="22" t="n">
        <x:v>116.7</x:v>
      </x:c>
      <x:c r="L16" s="22" t="n">
        <x:v>10080</x:v>
      </x:c>
      <x:c r="M16" s="22" t="n">
        <x:v>42077</x:v>
      </x:c>
      <x:c r="N16" s="22" t="n">
        <x:v>1542184</x:v>
      </x:c>
      <x:c r="O16" s="22" t="n">
        <x:v>16048</x:v>
      </x:c>
      <x:c r="P16" s="22" t="n">
        <x:v>355666</x:v>
      </x:c>
      <x:c r="Q16" s="22" t="n">
        <x:v>128344</x:v>
      </x:c>
      <x:c r="R16" s="22" t="n">
        <x:v>21871</x:v>
      </x:c>
      <x:c r="S16" s="22" t="n">
        <x:v>34535.2</x:v>
      </x:c>
      <x:c r="T16" s="8" t="str">
        <x:v>NBS 2025 Tables 2-5; 6-18; 8-10; 12-15; 16-13; 16-39</x:v>
      </x:c>
      <x:c r="U16" s="8" t="str">
        <x:v>official public data; manually transcribed and double-checked</x:v>
      </x:c>
      <x:c r="V16" s="8" t="str">
        <x:v>Values retain the units printed by NBS; component totals can differ by 0.1 because the source is rounded to one decimal place.</x:v>
      </x:c>
    </x:row>
    <x:row r="17" ht="42" customHeight="1">
      <x:c r="A17" s="8" t="str">
        <x:v>CN-HA</x:v>
      </x:c>
      <x:c r="B17" s="8" t="str">
        <x:v>Henan</x:v>
      </x:c>
      <x:c r="C17" s="8" t="str">
        <x:v>河南</x:v>
      </x:c>
      <x:c r="D17" s="20" t="n">
        <x:v>2024</x:v>
      </x:c>
      <x:c r="E17" s="22" t="n">
        <x:v>100.4</x:v>
      </x:c>
      <x:c r="F17" s="22" t="n">
        <x:v>0</x:v>
      </x:c>
      <x:c r="G17" s="22" t="n">
        <x:v>0</x:v>
      </x:c>
      <x:c r="H17" s="22" t="n">
        <x:v>0</x:v>
      </x:c>
      <x:c r="I17" s="22" t="n">
        <x:v>100.4</x:v>
      </x:c>
      <x:c r="J17" s="22" t="n">
        <x:v>11.1</x:v>
      </x:c>
      <x:c r="K17" s="22" t="n">
        <x:v>89.3</x:v>
      </x:c>
      <x:c r="L17" s="22" t="n">
        <x:v>9785</x:v>
      </x:c>
      <x:c r="M17" s="22" t="n">
        <x:v>31552</x:v>
      </x:c>
      <x:c r="N17" s="22" t="n">
        <x:v>1699957</x:v>
      </x:c>
      <x:c r="O17" s="22" t="n">
        <x:v>21009</x:v>
      </x:c>
      <x:c r="P17" s="22" t="n">
        <x:v>293441</x:v>
      </x:c>
      <x:c r="Q17" s="22" t="n">
        <x:v>75879</x:v>
      </x:c>
      <x:c r="R17" s="22" t="n">
        <x:v>6797</x:v>
      </x:c>
      <x:c r="S17" s="22" t="n">
        <x:v>9664.9</x:v>
      </x:c>
      <x:c r="T17" s="8" t="str">
        <x:v>NBS 2025 Tables 2-5; 6-18; 8-10; 12-15; 16-13; 16-39</x:v>
      </x:c>
      <x:c r="U17" s="8" t="str">
        <x:v>official public data; manually transcribed and double-checked</x:v>
      </x:c>
      <x:c r="V17" s="8" t="str">
        <x:v>Values retain the units printed by NBS; component totals can differ by 0.1 because the source is rounded to one decimal place.</x:v>
      </x:c>
    </x:row>
    <x:row r="18" ht="42" customHeight="1">
      <x:c r="A18" s="8" t="str">
        <x:v>CN-HB</x:v>
      </x:c>
      <x:c r="B18" s="8" t="str">
        <x:v>Hubei</x:v>
      </x:c>
      <x:c r="C18" s="8" t="str">
        <x:v>湖北</x:v>
      </x:c>
      <x:c r="D18" s="20" t="n">
        <x:v>2024</x:v>
      </x:c>
      <x:c r="E18" s="22" t="n">
        <x:v>546.4</x:v>
      </x:c>
      <x:c r="F18" s="22" t="n">
        <x:v>0</x:v>
      </x:c>
      <x:c r="G18" s="22" t="n">
        <x:v>0</x:v>
      </x:c>
      <x:c r="H18" s="22" t="n">
        <x:v>0</x:v>
      </x:c>
      <x:c r="I18" s="22" t="n">
        <x:v>546.4</x:v>
      </x:c>
      <x:c r="J18" s="22" t="n">
        <x:v>2.4</x:v>
      </x:c>
      <x:c r="K18" s="22" t="n">
        <x:v>544.1</x:v>
      </x:c>
      <x:c r="L18" s="22" t="n">
        <x:v>5834</x:v>
      </x:c>
      <x:c r="M18" s="22" t="n">
        <x:v>36947</x:v>
      </x:c>
      <x:c r="N18" s="22" t="n">
        <x:v>1490235</x:v>
      </x:c>
      <x:c r="O18" s="22" t="n">
        <x:v>24650</x:v>
      </x:c>
      <x:c r="P18" s="22" t="n">
        <x:v>267173</x:v>
      </x:c>
      <x:c r="Q18" s="22" t="n">
        <x:v>70736</x:v>
      </x:c>
      <x:c r="R18" s="22" t="n">
        <x:v>9377</x:v>
      </x:c>
      <x:c r="S18" s="22" t="n">
        <x:v>10974.4</x:v>
      </x:c>
      <x:c r="T18" s="8" t="str">
        <x:v>NBS 2025 Tables 2-5; 6-18; 8-10; 12-15; 16-13; 16-39</x:v>
      </x:c>
      <x:c r="U18" s="8" t="str">
        <x:v>official public data; manually transcribed and double-checked</x:v>
      </x:c>
      <x:c r="V18" s="8" t="str">
        <x:v>Values retain the units printed by NBS; component totals can differ by 0.1 because the source is rounded to one decimal place.</x:v>
      </x:c>
    </x:row>
    <x:row r="19" ht="42" customHeight="1">
      <x:c r="A19" s="8" t="str">
        <x:v>CN-HN</x:v>
      </x:c>
      <x:c r="B19" s="8" t="str">
        <x:v>Hunan</x:v>
      </x:c>
      <x:c r="C19" s="8" t="str">
        <x:v>湖南</x:v>
      </x:c>
      <x:c r="D19" s="20" t="n">
        <x:v>2024</x:v>
      </x:c>
      <x:c r="E19" s="22" t="n">
        <x:v>299.1</x:v>
      </x:c>
      <x:c r="F19" s="22" t="n">
        <x:v>0</x:v>
      </x:c>
      <x:c r="G19" s="22" t="n">
        <x:v>0</x:v>
      </x:c>
      <x:c r="H19" s="22" t="n">
        <x:v>0</x:v>
      </x:c>
      <x:c r="I19" s="22" t="n">
        <x:v>299.1</x:v>
      </x:c>
      <x:c r="J19" s="22" t="n">
        <x:v>0.1</x:v>
      </x:c>
      <x:c r="K19" s="22" t="n">
        <x:v>299</x:v>
      </x:c>
      <x:c r="L19" s="22" t="n">
        <x:v>6539</x:v>
      </x:c>
      <x:c r="M19" s="22" t="n">
        <x:v>37679</x:v>
      </x:c>
      <x:c r="N19" s="22" t="n">
        <x:v>1732340</x:v>
      </x:c>
      <x:c r="O19" s="22" t="n">
        <x:v>28663</x:v>
      </x:c>
      <x:c r="P19" s="22" t="n">
        <x:v>237819</x:v>
      </x:c>
      <x:c r="Q19" s="22" t="n">
        <x:v>56846</x:v>
      </x:c>
      <x:c r="R19" s="22" t="n">
        <x:v>7094</x:v>
      </x:c>
      <x:c r="S19" s="22" t="n">
        <x:v>6560.1</x:v>
      </x:c>
      <x:c r="T19" s="8" t="str">
        <x:v>NBS 2025 Tables 2-5; 6-18; 8-10; 12-15; 16-13; 16-39</x:v>
      </x:c>
      <x:c r="U19" s="8" t="str">
        <x:v>official public data; manually transcribed and double-checked</x:v>
      </x:c>
      <x:c r="V19" s="8" t="str">
        <x:v>Values retain the units printed by NBS; component totals can differ by 0.1 because the source is rounded to one decimal place.</x:v>
      </x:c>
    </x:row>
    <x:row r="20" ht="42" customHeight="1">
      <x:c r="A20" s="8" t="str">
        <x:v>CN-GD</x:v>
      </x:c>
      <x:c r="B20" s="8" t="str">
        <x:v>Guangdong</x:v>
      </x:c>
      <x:c r="C20" s="8" t="str">
        <x:v>广东</x:v>
      </x:c>
      <x:c r="D20" s="20" t="n">
        <x:v>2024</x:v>
      </x:c>
      <x:c r="E20" s="22" t="n">
        <x:v>966.4</x:v>
      </x:c>
      <x:c r="F20" s="22" t="n">
        <x:v>508.4</x:v>
      </x:c>
      <x:c r="G20" s="22" t="n">
        <x:v>131.5</x:v>
      </x:c>
      <x:c r="H20" s="22" t="n">
        <x:v>376.8</x:v>
      </x:c>
      <x:c r="I20" s="22" t="n">
        <x:v>458</x:v>
      </x:c>
      <x:c r="J20" s="22" t="n">
        <x:v>7.2</x:v>
      </x:c>
      <x:c r="K20" s="22" t="n">
        <x:v>450.8</x:v>
      </x:c>
      <x:c r="L20" s="22" t="n">
        <x:v>12780</x:v>
      </x:c>
      <x:c r="M20" s="22" t="n">
        <x:v>51474</x:v>
      </x:c>
      <x:c r="N20" s="22" t="n">
        <x:v>1706500</x:v>
      </x:c>
      <x:c r="O20" s="22" t="n">
        <x:v>33917</x:v>
      </x:c>
      <x:c r="P20" s="22" t="n">
        <x:v>371959</x:v>
      </x:c>
      <x:c r="Q20" s="22" t="n">
        <x:v>215442</x:v>
      </x:c>
      <x:c r="R20" s="22" t="n">
        <x:v>27520</x:v>
      </x:c>
      <x:c r="S20" s="22" t="n">
        <x:v>53706.6</x:v>
      </x:c>
      <x:c r="T20" s="8" t="str">
        <x:v>NBS 2025 Tables 2-5; 6-18; 8-10; 12-15; 16-13; 16-39</x:v>
      </x:c>
      <x:c r="U20" s="8" t="str">
        <x:v>official public data; manually transcribed and double-checked</x:v>
      </x:c>
      <x:c r="V20" s="8" t="str">
        <x:v>Values retain the units printed by NBS; component totals can differ by 0.1 because the source is rounded to one decimal place.</x:v>
      </x:c>
    </x:row>
    <x:row r="21" ht="42" customHeight="1">
      <x:c r="A21" s="8" t="str">
        <x:v>CN-GX</x:v>
      </x:c>
      <x:c r="B21" s="8" t="str">
        <x:v>Guangxi</x:v>
      </x:c>
      <x:c r="C21" s="8" t="str">
        <x:v>广西</x:v>
      </x:c>
      <x:c r="D21" s="20" t="n">
        <x:v>2024</x:v>
      </x:c>
      <x:c r="E21" s="22" t="n">
        <x:v>388.7</x:v>
      </x:c>
      <x:c r="F21" s="22" t="n">
        <x:v>228.4</x:v>
      </x:c>
      <x:c r="G21" s="22" t="n">
        <x:v>49.2</x:v>
      </x:c>
      <x:c r="H21" s="22" t="n">
        <x:v>179.3</x:v>
      </x:c>
      <x:c r="I21" s="22" t="n">
        <x:v>160.2</x:v>
      </x:c>
      <x:c r="J21" s="22" t="n">
        <x:v>7.6</x:v>
      </x:c>
      <x:c r="K21" s="22" t="n">
        <x:v>152.6</x:v>
      </x:c>
      <x:c r="L21" s="22" t="n">
        <x:v>5013</x:v>
      </x:c>
      <x:c r="M21" s="22" t="n">
        <x:v>31125</x:v>
      </x:c>
      <x:c r="N21" s="22" t="n">
        <x:v>1005915</x:v>
      </x:c>
      <x:c r="O21" s="22" t="n">
        <x:v>25624</x:v>
      </x:c>
      <x:c r="P21" s="22" t="n">
        <x:v>237126</x:v>
      </x:c>
      <x:c r="Q21" s="22" t="n">
        <x:v>29995</x:v>
      </x:c>
      <x:c r="R21" s="22" t="n">
        <x:v>3393</x:v>
      </x:c>
      <x:c r="S21" s="22" t="n">
        <x:v>4789.4</x:v>
      </x:c>
      <x:c r="T21" s="8" t="str">
        <x:v>NBS 2025 Tables 2-5; 6-18; 8-10; 12-15; 16-13; 16-39</x:v>
      </x:c>
      <x:c r="U21" s="8" t="str">
        <x:v>official public data; manually transcribed and double-checked</x:v>
      </x:c>
      <x:c r="V21" s="8" t="str">
        <x:v>Values retain the units printed by NBS; component totals can differ by 0.1 because the source is rounded to one decimal place.</x:v>
      </x:c>
    </x:row>
    <x:row r="22" ht="42" customHeight="1">
      <x:c r="A22" s="8" t="str">
        <x:v>CN-HI</x:v>
      </x:c>
      <x:c r="B22" s="8" t="str">
        <x:v>Hainan</x:v>
      </x:c>
      <x:c r="C22" s="8" t="str">
        <x:v>海南</x:v>
      </x:c>
      <x:c r="D22" s="20" t="n">
        <x:v>2024</x:v>
      </x:c>
      <x:c r="E22" s="22" t="n">
        <x:v>181.4</x:v>
      </x:c>
      <x:c r="F22" s="22" t="n">
        <x:v>131.9</x:v>
      </x:c>
      <x:c r="G22" s="22" t="n">
        <x:v>101.3</x:v>
      </x:c>
      <x:c r="H22" s="22" t="n">
        <x:v>30.6</x:v>
      </x:c>
      <x:c r="I22" s="22" t="n">
        <x:v>49.5</x:v>
      </x:c>
      <x:c r="J22" s="22" t="n">
        <x:v>1.1</x:v>
      </x:c>
      <x:c r="K22" s="22" t="n">
        <x:v>48.4</x:v>
      </x:c>
      <x:c r="L22" s="22" t="n">
        <x:v>1048</x:v>
      </x:c>
      <x:c r="M22" s="22" t="n">
        <x:v>34829</x:v>
      </x:c>
      <x:c r="N22" s="22" t="n">
        <x:v>175979</x:v>
      </x:c>
      <x:c r="O22" s="22" t="n">
        <x:v>4385</x:v>
      </x:c>
      <x:c r="P22" s="22" t="n">
        <x:v>39138</x:v>
      </x:c>
      <x:c r="Q22" s="22" t="n">
        <x:v>7496</x:v>
      </x:c>
      <x:c r="R22" s="22" t="n">
        <x:v>1115</x:v>
      </x:c>
      <x:c r="S22" s="22" t="n">
        <x:v>2983.1</x:v>
      </x:c>
      <x:c r="T22" s="8" t="str">
        <x:v>NBS 2025 Tables 2-5; 6-18; 8-10; 12-15; 16-13; 16-39</x:v>
      </x:c>
      <x:c r="U22" s="8" t="str">
        <x:v>official public data; manually transcribed and double-checked</x:v>
      </x:c>
      <x:c r="V22" s="8" t="str">
        <x:v>Values retain the units printed by NBS; component totals can differ by 0.1 because the source is rounded to one decimal place.</x:v>
      </x:c>
    </x:row>
    <x:row r="23" ht="42" customHeight="1">
      <x:c r="A23" s="8" t="str">
        <x:v>CN-CQ</x:v>
      </x:c>
      <x:c r="B23" s="8" t="str">
        <x:v>Chongqing</x:v>
      </x:c>
      <x:c r="C23" s="8" t="str">
        <x:v>重庆</x:v>
      </x:c>
      <x:c r="D23" s="20" t="n">
        <x:v>2024</x:v>
      </x:c>
      <x:c r="E23" s="22" t="n">
        <x:v>61.2</x:v>
      </x:c>
      <x:c r="F23" s="22" t="n">
        <x:v>0</x:v>
      </x:c>
      <x:c r="G23" s="22" t="n">
        <x:v>0</x:v>
      </x:c>
      <x:c r="H23" s="22" t="n">
        <x:v>0</x:v>
      </x:c>
      <x:c r="I23" s="22" t="n">
        <x:v>61.2</x:v>
      </x:c>
      <x:c r="J23" s="22" t="n">
        <x:v>0</x:v>
      </x:c>
      <x:c r="K23" s="22" t="n">
        <x:v>61.2</x:v>
      </x:c>
      <x:c r="L23" s="22" t="n">
        <x:v>3190</x:v>
      </x:c>
      <x:c r="M23" s="22" t="n">
        <x:v>39713</x:v>
      </x:c>
      <x:c r="N23" s="22" t="n">
        <x:v>429462</x:v>
      </x:c>
      <x:c r="O23" s="22" t="n">
        <x:v>6565</x:v>
      </x:c>
      <x:c r="P23" s="22" t="n">
        <x:v>137534</x:v>
      </x:c>
      <x:c r="Q23" s="22" t="n">
        <x:v>28526</x:v>
      </x:c>
      <x:c r="R23" s="22" t="n">
        <x:v>4849</x:v>
      </x:c>
      <x:c r="S23" s="22" t="n">
        <x:v>12395.5</x:v>
      </x:c>
      <x:c r="T23" s="8" t="str">
        <x:v>NBS 2025 Tables 2-5; 6-18; 8-10; 12-15; 16-13; 16-39</x:v>
      </x:c>
      <x:c r="U23" s="8" t="str">
        <x:v>official public data; manually transcribed and double-checked</x:v>
      </x:c>
      <x:c r="V23" s="8" t="str">
        <x:v>Values retain the units printed by NBS; component totals can differ by 0.1 because the source is rounded to one decimal place.</x:v>
      </x:c>
    </x:row>
    <x:row r="24" ht="42" customHeight="1">
      <x:c r="A24" s="8" t="str">
        <x:v>CN-SC</x:v>
      </x:c>
      <x:c r="B24" s="8" t="str">
        <x:v>Sichuan</x:v>
      </x:c>
      <x:c r="C24" s="8" t="str">
        <x:v>四川</x:v>
      </x:c>
      <x:c r="D24" s="20" t="n">
        <x:v>2024</x:v>
      </x:c>
      <x:c r="E24" s="22" t="n">
        <x:v>187.2</x:v>
      </x:c>
      <x:c r="F24" s="22" t="n">
        <x:v>0</x:v>
      </x:c>
      <x:c r="G24" s="22" t="n">
        <x:v>0</x:v>
      </x:c>
      <x:c r="H24" s="22" t="n">
        <x:v>0</x:v>
      </x:c>
      <x:c r="I24" s="22" t="n">
        <x:v>187.2</x:v>
      </x:c>
      <x:c r="J24" s="22" t="n">
        <x:v>0</x:v>
      </x:c>
      <x:c r="K24" s="22" t="n">
        <x:v>187.2</x:v>
      </x:c>
      <x:c r="L24" s="22" t="n">
        <x:v>8364</x:v>
      </x:c>
      <x:c r="M24" s="22" t="n">
        <x:v>34325</x:v>
      </x:c>
      <x:c r="N24" s="22" t="n">
        <x:v>1473764</x:v>
      </x:c>
      <x:c r="O24" s="22" t="n">
        <x:v>21037</x:v>
      </x:c>
      <x:c r="P24" s="22" t="n">
        <x:v>206296</x:v>
      </x:c>
      <x:c r="Q24" s="22" t="n">
        <x:v>69448</x:v>
      </x:c>
      <x:c r="R24" s="22" t="n">
        <x:v>9132</x:v>
      </x:c>
      <x:c r="S24" s="22" t="n">
        <x:v>12342.5</x:v>
      </x:c>
      <x:c r="T24" s="8" t="str">
        <x:v>NBS 2025 Tables 2-5; 6-18; 8-10; 12-15; 16-13; 16-39</x:v>
      </x:c>
      <x:c r="U24" s="8" t="str">
        <x:v>official public data; manually transcribed and double-checked</x:v>
      </x:c>
      <x:c r="V24" s="8" t="str">
        <x:v>Values retain the units printed by NBS; component totals can differ by 0.1 because the source is rounded to one decimal place.</x:v>
      </x:c>
    </x:row>
    <x:row r="25" ht="42" customHeight="1">
      <x:c r="A25" s="8" t="str">
        <x:v>CN-GZ</x:v>
      </x:c>
      <x:c r="B25" s="8" t="str">
        <x:v>Guizhou</x:v>
      </x:c>
      <x:c r="C25" s="8" t="str">
        <x:v>贵州</x:v>
      </x:c>
      <x:c r="D25" s="20" t="n">
        <x:v>2024</x:v>
      </x:c>
      <x:c r="E25" s="22" t="n">
        <x:v>29.5</x:v>
      </x:c>
      <x:c r="F25" s="22" t="n">
        <x:v>0</x:v>
      </x:c>
      <x:c r="G25" s="22" t="n">
        <x:v>0</x:v>
      </x:c>
      <x:c r="H25" s="22" t="n">
        <x:v>0</x:v>
      </x:c>
      <x:c r="I25" s="22" t="n">
        <x:v>29.5</x:v>
      </x:c>
      <x:c r="J25" s="22" t="n">
        <x:v>0.4</x:v>
      </x:c>
      <x:c r="K25" s="22" t="n">
        <x:v>29.1</x:v>
      </x:c>
      <x:c r="L25" s="22" t="n">
        <x:v>3860</x:v>
      </x:c>
      <x:c r="M25" s="22" t="n">
        <x:v>28561</x:v>
      </x:c>
      <x:c r="N25" s="22" t="n">
        <x:v>1179543</x:v>
      </x:c>
      <x:c r="O25" s="22" t="n">
        <x:v>15993</x:v>
      </x:c>
      <x:c r="P25" s="22" t="n">
        <x:v>113446</x:v>
      </x:c>
      <x:c r="Q25" s="22" t="n">
        <x:v>19832</x:v>
      </x:c>
      <x:c r="R25" s="22" t="n">
        <x:v>2371</x:v>
      </x:c>
      <x:c r="S25" s="22" t="n">
        <x:v>5613.9</x:v>
      </x:c>
      <x:c r="T25" s="8" t="str">
        <x:v>NBS 2025 Tables 2-5; 6-18; 8-10; 12-15; 16-13; 16-39</x:v>
      </x:c>
      <x:c r="U25" s="8" t="str">
        <x:v>official public data; manually transcribed and double-checked</x:v>
      </x:c>
      <x:c r="V25" s="8" t="str">
        <x:v>Values retain the units printed by NBS; component totals can differ by 0.1 because the source is rounded to one decimal place.</x:v>
      </x:c>
    </x:row>
    <x:row r="26" ht="42" customHeight="1">
      <x:c r="A26" s="8" t="str">
        <x:v>CN-YN</x:v>
      </x:c>
      <x:c r="B26" s="8" t="str">
        <x:v>Yunnan</x:v>
      </x:c>
      <x:c r="C26" s="8" t="str">
        <x:v>云南</x:v>
      </x:c>
      <x:c r="D26" s="20" t="n">
        <x:v>2024</x:v>
      </x:c>
      <x:c r="E26" s="22" t="n">
        <x:v>72</x:v>
      </x:c>
      <x:c r="F26" s="22" t="n">
        <x:v>0</x:v>
      </x:c>
      <x:c r="G26" s="22" t="n">
        <x:v>0</x:v>
      </x:c>
      <x:c r="H26" s="22" t="n">
        <x:v>0</x:v>
      </x:c>
      <x:c r="I26" s="22" t="n">
        <x:v>72</x:v>
      </x:c>
      <x:c r="J26" s="22" t="n">
        <x:v>2.8</x:v>
      </x:c>
      <x:c r="K26" s="22" t="n">
        <x:v>69.2</x:v>
      </x:c>
      <x:c r="L26" s="22" t="n">
        <x:v>4655</x:v>
      </x:c>
      <x:c r="M26" s="22" t="n">
        <x:v>29932</x:v>
      </x:c>
      <x:c r="N26" s="22" t="n">
        <x:v>772366</x:v>
      </x:c>
      <x:c r="O26" s="22" t="n">
        <x:v>12081</x:v>
      </x:c>
      <x:c r="P26" s="22" t="n">
        <x:v>149114</x:v>
      </x:c>
      <x:c r="Q26" s="22" t="n">
        <x:v>26807</x:v>
      </x:c>
      <x:c r="R26" s="22" t="n">
        <x:v>3302</x:v>
      </x:c>
      <x:c r="S26" s="22" t="n">
        <x:v>2774.5</x:v>
      </x:c>
      <x:c r="T26" s="8" t="str">
        <x:v>NBS 2025 Tables 2-5; 6-18; 8-10; 12-15; 16-13; 16-39</x:v>
      </x:c>
      <x:c r="U26" s="8" t="str">
        <x:v>official public data; manually transcribed and double-checked</x:v>
      </x:c>
      <x:c r="V26" s="8" t="str">
        <x:v>Values retain the units printed by NBS; component totals can differ by 0.1 because the source is rounded to one decimal place.</x:v>
      </x:c>
    </x:row>
    <x:row r="27" ht="42" customHeight="1">
      <x:c r="A27" s="8" t="str">
        <x:v>CN-XZ</x:v>
      </x:c>
      <x:c r="B27" s="8" t="str">
        <x:v>Tibet</x:v>
      </x:c>
      <x:c r="C27" s="8" t="str">
        <x:v>西藏</x:v>
      </x:c>
      <x:c r="D27" s="20" t="n">
        <x:v>2024</x:v>
      </x:c>
      <x:c r="E27" s="22" t="n">
        <x:v>0.1</x:v>
      </x:c>
      <x:c r="F27" s="22" t="n">
        <x:v>0</x:v>
      </x:c>
      <x:c r="G27" s="22" t="n">
        <x:v>0</x:v>
      </x:c>
      <x:c r="H27" s="22" t="n">
        <x:v>0</x:v>
      </x:c>
      <x:c r="I27" s="22" t="n">
        <x:v>0.1</x:v>
      </x:c>
      <x:c r="J27" s="22" t="n">
        <x:v>0</x:v>
      </x:c>
      <x:c r="K27" s="22" t="n">
        <x:v>0</x:v>
      </x:c>
      <x:c r="L27" s="22" t="n">
        <x:v>370</x:v>
      </x:c>
      <x:c r="M27" s="22" t="n">
        <x:v>31358</x:v>
      </x:c>
      <x:c r="N27" s="22" t="n">
        <x:v>506406</x:v>
      </x:c>
      <x:c r="O27" s="22" t="n">
        <x:v>4228</x:v>
      </x:c>
      <x:c r="P27" s="22" t="n">
        <x:v>5167</x:v>
      </x:c>
      <x:c r="Q27" s="22" t="n">
        <x:v>2440</x:v>
      </x:c>
      <x:c r="R27" s="22" t="n">
        <x:v>278</x:v>
      </x:c>
      <x:c r="S27" s="22" t="n">
        <x:v>295.4</x:v>
      </x:c>
      <x:c r="T27" s="8" t="str">
        <x:v>NBS 2025 Tables 2-5; 6-18; 8-10; 12-15; 16-13; 16-39</x:v>
      </x:c>
      <x:c r="U27" s="8" t="str">
        <x:v>official public data; manually transcribed and double-checked</x:v>
      </x:c>
      <x:c r="V27" s="8" t="str">
        <x:v>Values retain the units printed by NBS; component totals can differ by 0.1 because the source is rounded to one decimal place.</x:v>
      </x:c>
    </x:row>
    <x:row r="28" ht="42" customHeight="1">
      <x:c r="A28" s="8" t="str">
        <x:v>CN-SN</x:v>
      </x:c>
      <x:c r="B28" s="8" t="str">
        <x:v>Shaanxi</x:v>
      </x:c>
      <x:c r="C28" s="8" t="str">
        <x:v>陕西</x:v>
      </x:c>
      <x:c r="D28" s="20" t="n">
        <x:v>2024</x:v>
      </x:c>
      <x:c r="E28" s="22" t="n">
        <x:v>18.7</x:v>
      </x:c>
      <x:c r="F28" s="22" t="n">
        <x:v>0</x:v>
      </x:c>
      <x:c r="G28" s="22" t="n">
        <x:v>0</x:v>
      </x:c>
      <x:c r="H28" s="22" t="n">
        <x:v>0</x:v>
      </x:c>
      <x:c r="I28" s="22" t="n">
        <x:v>18.7</x:v>
      </x:c>
      <x:c r="J28" s="22" t="n">
        <x:v>0</x:v>
      </x:c>
      <x:c r="K28" s="22" t="n">
        <x:v>18.7</x:v>
      </x:c>
      <x:c r="L28" s="22" t="n">
        <x:v>3953</x:v>
      </x:c>
      <x:c r="M28" s="22" t="n">
        <x:v>33905</x:v>
      </x:c>
      <x:c r="N28" s="22" t="n">
        <x:v>400614</x:v>
      </x:c>
      <x:c r="O28" s="22" t="n">
        <x:v>4706</x:v>
      </x:c>
      <x:c r="P28" s="22" t="n">
        <x:v>188371</x:v>
      </x:c>
      <x:c r="Q28" s="22" t="n">
        <x:v>34025</x:v>
      </x:c>
      <x:c r="R28" s="22" t="n">
        <x:v>4165</x:v>
      </x:c>
      <x:c r="S28" s="22" t="n">
        <x:v>6857.4</x:v>
      </x:c>
      <x:c r="T28" s="8" t="str">
        <x:v>NBS 2025 Tables 2-5; 6-18; 8-10; 12-15; 16-13; 16-39</x:v>
      </x:c>
      <x:c r="U28" s="8" t="str">
        <x:v>official public data; manually transcribed and double-checked</x:v>
      </x:c>
      <x:c r="V28" s="8" t="str">
        <x:v>Values retain the units printed by NBS; component totals can differ by 0.1 because the source is rounded to one decimal place.</x:v>
      </x:c>
    </x:row>
    <x:row r="29" ht="42" customHeight="1">
      <x:c r="A29" s="8" t="str">
        <x:v>CN-GS</x:v>
      </x:c>
      <x:c r="B29" s="8" t="str">
        <x:v>Gansu</x:v>
      </x:c>
      <x:c r="C29" s="8" t="str">
        <x:v>甘肃</x:v>
      </x:c>
      <x:c r="D29" s="20" t="n">
        <x:v>2024</x:v>
      </x:c>
      <x:c r="E29" s="22" t="n">
        <x:v>1.7</x:v>
      </x:c>
      <x:c r="F29" s="22" t="n">
        <x:v>0</x:v>
      </x:c>
      <x:c r="G29" s="22" t="n">
        <x:v>0</x:v>
      </x:c>
      <x:c r="H29" s="22" t="n">
        <x:v>0</x:v>
      </x:c>
      <x:c r="I29" s="22" t="n">
        <x:v>1.7</x:v>
      </x:c>
      <x:c r="J29" s="22" t="n">
        <x:v>0</x:v>
      </x:c>
      <x:c r="K29" s="22" t="n">
        <x:v>1.7</x:v>
      </x:c>
      <x:c r="L29" s="22" t="n">
        <x:v>2458</x:v>
      </x:c>
      <x:c r="M29" s="22" t="n">
        <x:v>26612</x:v>
      </x:c>
      <x:c r="N29" s="22" t="n">
        <x:v>920791</x:v>
      </x:c>
      <x:c r="O29" s="22" t="n">
        <x:v>6804</x:v>
      </x:c>
      <x:c r="P29" s="22" t="n">
        <x:v>84024</x:v>
      </x:c>
      <x:c r="Q29" s="22" t="n">
        <x:v>14002</x:v>
      </x:c>
      <x:c r="R29" s="22" t="n">
        <x:v>1391</x:v>
      </x:c>
      <x:c r="S29" s="22" t="n">
        <x:v>1576.3</x:v>
      </x:c>
      <x:c r="T29" s="8" t="str">
        <x:v>NBS 2025 Tables 2-5; 6-18; 8-10; 12-15; 16-13; 16-39</x:v>
      </x:c>
      <x:c r="U29" s="8" t="str">
        <x:v>official public data; manually transcribed and double-checked</x:v>
      </x:c>
      <x:c r="V29" s="8" t="str">
        <x:v>Values retain the units printed by NBS; component totals can differ by 0.1 because the source is rounded to one decimal place.</x:v>
      </x:c>
    </x:row>
    <x:row r="30" ht="42" customHeight="1">
      <x:c r="A30" s="8" t="str">
        <x:v>CN-QH</x:v>
      </x:c>
      <x:c r="B30" s="8" t="str">
        <x:v>Qinghai</x:v>
      </x:c>
      <x:c r="C30" s="8" t="str">
        <x:v>青海</x:v>
      </x:c>
      <x:c r="D30" s="20" t="n">
        <x:v>2024</x:v>
      </x:c>
      <x:c r="E30" s="22" t="n">
        <x:v>1.9</x:v>
      </x:c>
      <x:c r="F30" s="22" t="n">
        <x:v>0</x:v>
      </x:c>
      <x:c r="G30" s="22" t="n">
        <x:v>0</x:v>
      </x:c>
      <x:c r="H30" s="22" t="n">
        <x:v>0</x:v>
      </x:c>
      <x:c r="I30" s="22" t="n">
        <x:v>1.9</x:v>
      </x:c>
      <x:c r="J30" s="22" t="n">
        <x:v>0.4</x:v>
      </x:c>
      <x:c r="K30" s="22" t="n">
        <x:v>1.5</x:v>
      </x:c>
      <x:c r="L30" s="22" t="n">
        <x:v>593</x:v>
      </x:c>
      <x:c r="M30" s="22" t="n">
        <x:v>30117</x:v>
      </x:c>
      <x:c r="N30" s="22" t="n">
        <x:v>281929</x:v>
      </x:c>
      <x:c r="O30" s="22" t="n">
        <x:v>1456</x:v>
      </x:c>
      <x:c r="P30" s="22" t="n">
        <x:v>21137</x:v>
      </x:c>
      <x:c r="Q30" s="22" t="n">
        <x:v>3147</x:v>
      </x:c>
      <x:c r="R30" s="22" t="n">
        <x:v>359</x:v>
      </x:c>
      <x:c r="S30" s="22" t="n">
        <x:v>380.8</x:v>
      </x:c>
      <x:c r="T30" s="8" t="str">
        <x:v>NBS 2025 Tables 2-5; 6-18; 8-10; 12-15; 16-13; 16-39</x:v>
      </x:c>
      <x:c r="U30" s="8" t="str">
        <x:v>official public data; manually transcribed and double-checked</x:v>
      </x:c>
      <x:c r="V30" s="8" t="str">
        <x:v>Values retain the units printed by NBS; component totals can differ by 0.1 because the source is rounded to one decimal place.</x:v>
      </x:c>
    </x:row>
    <x:row r="31" ht="42" customHeight="1">
      <x:c r="A31" s="8" t="str">
        <x:v>CN-NX</x:v>
      </x:c>
      <x:c r="B31" s="8" t="str">
        <x:v>Ningxia</x:v>
      </x:c>
      <x:c r="C31" s="8" t="str">
        <x:v>宁夏</x:v>
      </x:c>
      <x:c r="D31" s="20" t="n">
        <x:v>2024</x:v>
      </x:c>
      <x:c r="E31" s="22" t="n">
        <x:v>17.9</x:v>
      </x:c>
      <x:c r="F31" s="22" t="n">
        <x:v>0</x:v>
      </x:c>
      <x:c r="G31" s="22" t="n">
        <x:v>0</x:v>
      </x:c>
      <x:c r="H31" s="22" t="n">
        <x:v>0</x:v>
      </x:c>
      <x:c r="I31" s="22" t="n">
        <x:v>17.9</x:v>
      </x:c>
      <x:c r="J31" s="22" t="n">
        <x:v>0.7</x:v>
      </x:c>
      <x:c r="K31" s="22" t="n">
        <x:v>17.2</x:v>
      </x:c>
      <x:c r="L31" s="22" t="n">
        <x:v>729</x:v>
      </x:c>
      <x:c r="M31" s="22" t="n">
        <x:v>33355</x:v>
      </x:c>
      <x:c r="N31" s="22" t="n">
        <x:v>263736</x:v>
      </x:c>
      <x:c r="O31" s="22" t="n">
        <x:v>2469</x:v>
      </x:c>
      <x:c r="P31" s="22" t="n">
        <x:v>57966</x:v>
      </x:c>
      <x:c r="Q31" s="22" t="n">
        <x:v>4903</x:v>
      </x:c>
      <x:c r="R31" s="22" t="n">
        <x:v>541</x:v>
      </x:c>
      <x:c r="S31" s="22" t="n">
        <x:v>1015.2</x:v>
      </x:c>
      <x:c r="T31" s="8" t="str">
        <x:v>NBS 2025 Tables 2-5; 6-18; 8-10; 12-15; 16-13; 16-39</x:v>
      </x:c>
      <x:c r="U31" s="8" t="str">
        <x:v>official public data; manually transcribed and double-checked</x:v>
      </x:c>
      <x:c r="V31" s="8" t="str">
        <x:v>Values retain the units printed by NBS; component totals can differ by 0.1 because the source is rounded to one decimal place.</x:v>
      </x:c>
    </x:row>
    <x:row r="32" ht="42" customHeight="1">
      <x:c r="A32" s="8" t="str">
        <x:v>CN-XJ</x:v>
      </x:c>
      <x:c r="B32" s="8" t="str">
        <x:v>Xinjiang</x:v>
      </x:c>
      <x:c r="C32" s="8" t="str">
        <x:v>新疆</x:v>
      </x:c>
      <x:c r="D32" s="20" t="n">
        <x:v>2024</x:v>
      </x:c>
      <x:c r="E32" s="22" t="n">
        <x:v>19.3</x:v>
      </x:c>
      <x:c r="F32" s="22" t="n">
        <x:v>0</x:v>
      </x:c>
      <x:c r="G32" s="22" t="n">
        <x:v>0</x:v>
      </x:c>
      <x:c r="H32" s="22" t="n">
        <x:v>0</x:v>
      </x:c>
      <x:c r="I32" s="22" t="n">
        <x:v>19.3</x:v>
      </x:c>
      <x:c r="J32" s="22" t="n">
        <x:v>1.4</x:v>
      </x:c>
      <x:c r="K32" s="22" t="n">
        <x:v>17.9</x:v>
      </x:c>
      <x:c r="L32" s="22" t="n">
        <x:v>2623</x:v>
      </x:c>
      <x:c r="M32" s="22" t="n">
        <x:v>30899</x:v>
      </x:c>
      <x:c r="N32" s="22" t="n">
        <x:v>704744</x:v>
      </x:c>
      <x:c r="O32" s="22" t="n">
        <x:v>6294</x:v>
      </x:c>
      <x:c r="P32" s="22" t="n">
        <x:v>111618</x:v>
      </x:c>
      <x:c r="Q32" s="22" t="n">
        <x:v>22133</x:v>
      </x:c>
      <x:c r="R32" s="22" t="n">
        <x:v>1970</x:v>
      </x:c>
      <x:c r="S32" s="22" t="n">
        <x:v>4876.2</x:v>
      </x:c>
      <x:c r="T32" s="8" t="str">
        <x:v>NBS 2025 Tables 2-5; 6-18; 8-10; 12-15; 16-13; 16-39</x:v>
      </x:c>
      <x:c r="U32" s="8" t="str">
        <x:v>official public data; manually transcribed and double-checked</x:v>
      </x:c>
      <x:c r="V32" s="8" t="str">
        <x:v>Values retain the units printed by NBS; component totals can differ by 0.1 because the source is rounded to one decimal place.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6" hidden="0" customWidth="1"/>
    <x:col min="3" max="3" width="22" hidden="0" customWidth="1"/>
    <x:col min="4" max="4" width="26" hidden="0" customWidth="1"/>
    <x:col min="5" max="5" width="44" hidden="0" customWidth="1"/>
    <x:col min="6" max="6" width="64" hidden="0" customWidth="1"/>
    <x:col min="7" max="7" width="58" hidden="0" customWidth="1"/>
  </x:cols>
  <x:sheetData>
    <x:row r="1" ht="34" customHeight="1">
      <x:c r="A1" s="12" t="str">
        <x:v>field</x:v>
      </x:c>
      <x:c r="B1" s="12" t="str">
        <x:v>definition</x:v>
      </x:c>
      <x:c r="C1" s="12" t="str">
        <x:v>unit</x:v>
      </x:c>
      <x:c r="D1" s="12" t="str">
        <x:v>evidence_class</x:v>
      </x:c>
      <x:c r="E1" s="12" t="str">
        <x:v>source_table</x:v>
      </x:c>
      <x:c r="F1" s="12" t="str">
        <x:v>source_url</x:v>
      </x:c>
      <x:c r="G1" s="12" t="str">
        <x:v>processing</x:v>
      </x:c>
    </x:row>
    <x:row r="2" ht="42" customHeight="1">
      <x:c r="A2" s="8" t="str">
        <x:v>province_code</x:v>
      </x:c>
      <x:c r="B2" s="8" t="str">
        <x:v>ISO-style subdivision code</x:v>
      </x:c>
      <x:c r="C2" s="8" t="str">
        <x:v>text</x:v>
      </x:c>
      <x:c r="D2" s="8" t="str">
        <x:v>identifier</x:v>
      </x:c>
      <x:c r="E2" s="8" t="str">
        <x:v>NBS tables</x:v>
      </x:c>
      <x:c r="F2" s="8" t="str">
        <x:v>https://www.stats.gov.cn/sj/ndsj/2025/left_.htm</x:v>
      </x:c>
      <x:c r="G2" s="8" t="str">
        <x:v>Assigned consistently across the six transcribed tables.</x:v>
      </x:c>
    </x:row>
    <x:row r="3" ht="42" customHeight="1">
      <x:c r="A3" s="8" t="str">
        <x:v>province_en</x:v>
      </x:c>
      <x:c r="B3" s="8" t="str">
        <x:v>Province-level region name in English</x:v>
      </x:c>
      <x:c r="C3" s="8" t="str">
        <x:v>text</x:v>
      </x:c>
      <x:c r="D3" s="8" t="str">
        <x:v>official public data</x:v>
      </x:c>
      <x:c r="E3" s="8" t="str">
        <x:v>NBS tables</x:v>
      </x:c>
      <x:c r="F3" s="8" t="str">
        <x:v>https://www.stats.gov.cn/sj/ndsj/2025/left_.htm</x:v>
      </x:c>
      <x:c r="G3" s="8" t="str">
        <x:v>Transcribed.</x:v>
      </x:c>
    </x:row>
    <x:row r="4" ht="42" customHeight="1">
      <x:c r="A4" s="8" t="str">
        <x:v>province_zh</x:v>
      </x:c>
      <x:c r="B4" s="8" t="str">
        <x:v>Province-level region name in Chinese</x:v>
      </x:c>
      <x:c r="C4" s="8" t="str">
        <x:v>text</x:v>
      </x:c>
      <x:c r="D4" s="8" t="str">
        <x:v>identifier</x:v>
      </x:c>
      <x:c r="E4" s="8" t="str">
        <x:v>NBS tables</x:v>
      </x:c>
      <x:c r="F4" s="8" t="str">
        <x:v>https://www.stats.gov.cn/sj/ndsj/2025/left_.htm</x:v>
      </x:c>
      <x:c r="G4" s="8" t="str">
        <x:v>Standard Chinese name added for usability.</x:v>
      </x:c>
    </x:row>
    <x:row r="5" ht="42" customHeight="1">
      <x:c r="A5" s="8" t="str">
        <x:v>year</x:v>
      </x:c>
      <x:c r="B5" s="8" t="str">
        <x:v>Reference year</x:v>
      </x:c>
      <x:c r="C5" s="8" t="str">
        <x:v>year</x:v>
      </x:c>
      <x:c r="D5" s="8" t="str">
        <x:v>official public data</x:v>
      </x:c>
      <x:c r="E5" s="8" t="str">
        <x:v>NBS tables</x:v>
      </x:c>
      <x:c r="F5" s="8" t="str">
        <x:v>https://www.stats.gov.cn/sj/ndsj/2025/left_.htm</x:v>
      </x:c>
      <x:c r="G5" s="8" t="str">
        <x:v>All included observations refer to 2024.</x:v>
      </x:c>
    </x:row>
    <x:row r="6" ht="42" customHeight="1">
      <x:c r="A6" s="8" t="str">
        <x:v>aquatic_total_10000_t</x:v>
      </x:c>
      <x:c r="B6" s="8" t="str">
        <x:v>Total output of aquatic products</x:v>
      </x:c>
      <x:c r="C6" s="8" t="str">
        <x:v>10 000 tonnes</x:v>
      </x:c>
      <x:c r="D6" s="8" t="str">
        <x:v>official public data</x:v>
      </x:c>
      <x:c r="E6" s="8" t="str">
        <x:v>12-15 Output of Aquatic Products</x:v>
      </x:c>
      <x:c r="F6" s="8" t="str">
        <x:v>https://www.stats.gov.cn/sj/ndsj/2025/html/E12-15.jpg</x:v>
      </x:c>
      <x:c r="G6" s="8" t="str">
        <x:v>Transcribed without changing the printed unit.</x:v>
      </x:c>
    </x:row>
    <x:row r="7" ht="42" customHeight="1">
      <x:c r="A7" s="8" t="str">
        <x:v>marine_total_10000_t</x:v>
      </x:c>
      <x:c r="B7" s="8" t="str">
        <x:v>Output of marine aquatic products</x:v>
      </x:c>
      <x:c r="C7" s="8" t="str">
        <x:v>10 000 tonnes</x:v>
      </x:c>
      <x:c r="D7" s="8" t="str">
        <x:v>official public data</x:v>
      </x:c>
      <x:c r="E7" s="8" t="str">
        <x:v>12-15 Output of Aquatic Products</x:v>
      </x:c>
      <x:c r="F7" s="8" t="str">
        <x:v>https://www.stats.gov.cn/sj/ndsj/2025/html/E12-15.jpg</x:v>
      </x:c>
      <x:c r="G7" s="8" t="str">
        <x:v>Transcribed without changing the printed unit.</x:v>
      </x:c>
    </x:row>
    <x:row r="8" ht="42" customHeight="1">
      <x:c r="A8" s="8" t="str">
        <x:v>marine_capture_10000_t</x:v>
      </x:c>
      <x:c r="B8" s="8" t="str">
        <x:v>Output of marine fishing products</x:v>
      </x:c>
      <x:c r="C8" s="8" t="str">
        <x:v>10 000 tonnes</x:v>
      </x:c>
      <x:c r="D8" s="8" t="str">
        <x:v>official public data</x:v>
      </x:c>
      <x:c r="E8" s="8" t="str">
        <x:v>12-15 Output of Aquatic Products</x:v>
      </x:c>
      <x:c r="F8" s="8" t="str">
        <x:v>https://www.stats.gov.cn/sj/ndsj/2025/html/E12-15.jpg</x:v>
      </x:c>
      <x:c r="G8" s="8" t="str">
        <x:v>Transcribed without changing the printed unit.</x:v>
      </x:c>
    </x:row>
    <x:row r="9" ht="42" customHeight="1">
      <x:c r="A9" s="8" t="str">
        <x:v>marine_aquaculture_10000_t</x:v>
      </x:c>
      <x:c r="B9" s="8" t="str">
        <x:v>Output of marine aquacultural products</x:v>
      </x:c>
      <x:c r="C9" s="8" t="str">
        <x:v>10 000 tonnes</x:v>
      </x:c>
      <x:c r="D9" s="8" t="str">
        <x:v>official public data</x:v>
      </x:c>
      <x:c r="E9" s="8" t="str">
        <x:v>12-15 Output of Aquatic Products</x:v>
      </x:c>
      <x:c r="F9" s="8" t="str">
        <x:v>https://www.stats.gov.cn/sj/ndsj/2025/html/E12-15.jpg</x:v>
      </x:c>
      <x:c r="G9" s="8" t="str">
        <x:v>Transcribed without changing the printed unit.</x:v>
      </x:c>
    </x:row>
    <x:row r="10" ht="42" customHeight="1">
      <x:c r="A10" s="8" t="str">
        <x:v>freshwater_total_10000_t</x:v>
      </x:c>
      <x:c r="B10" s="8" t="str">
        <x:v>Output of freshwater aquatic products</x:v>
      </x:c>
      <x:c r="C10" s="8" t="str">
        <x:v>10 000 tonnes</x:v>
      </x:c>
      <x:c r="D10" s="8" t="str">
        <x:v>official public data</x:v>
      </x:c>
      <x:c r="E10" s="8" t="str">
        <x:v>12-15 Output of Aquatic Products</x:v>
      </x:c>
      <x:c r="F10" s="8" t="str">
        <x:v>https://www.stats.gov.cn/sj/ndsj/2025/html/E12-15.jpg</x:v>
      </x:c>
      <x:c r="G10" s="8" t="str">
        <x:v>Transcribed without changing the printed unit.</x:v>
      </x:c>
    </x:row>
    <x:row r="11" ht="42" customHeight="1">
      <x:c r="A11" s="8" t="str">
        <x:v>freshwater_capture_10000_t</x:v>
      </x:c>
      <x:c r="B11" s="8" t="str">
        <x:v>Output of freshwater fishing products</x:v>
      </x:c>
      <x:c r="C11" s="8" t="str">
        <x:v>10 000 tonnes</x:v>
      </x:c>
      <x:c r="D11" s="8" t="str">
        <x:v>official public data</x:v>
      </x:c>
      <x:c r="E11" s="8" t="str">
        <x:v>12-15 Output of Aquatic Products</x:v>
      </x:c>
      <x:c r="F11" s="8" t="str">
        <x:v>https://www.stats.gov.cn/sj/ndsj/2025/html/E12-15.jpg</x:v>
      </x:c>
      <x:c r="G11" s="8" t="str">
        <x:v>Transcribed without changing the printed unit.</x:v>
      </x:c>
    </x:row>
    <x:row r="12" ht="42" customHeight="1">
      <x:c r="A12" s="8" t="str">
        <x:v>freshwater_aquaculture_10000_t</x:v>
      </x:c>
      <x:c r="B12" s="8" t="str">
        <x:v>Output of freshwater aquacultural products</x:v>
      </x:c>
      <x:c r="C12" s="8" t="str">
        <x:v>10 000 tonnes</x:v>
      </x:c>
      <x:c r="D12" s="8" t="str">
        <x:v>official public data</x:v>
      </x:c>
      <x:c r="E12" s="8" t="str">
        <x:v>12-15 Output of Aquatic Products</x:v>
      </x:c>
      <x:c r="F12" s="8" t="str">
        <x:v>https://www.stats.gov.cn/sj/ndsj/2025/html/E12-15.jpg</x:v>
      </x:c>
      <x:c r="G12" s="8" t="str">
        <x:v>Transcribed without changing the printed unit.</x:v>
      </x:c>
    </x:row>
    <x:row r="13" ht="42" customHeight="1">
      <x:c r="A13" s="8" t="str">
        <x:v>population_10000_persons</x:v>
      </x:c>
      <x:c r="B13" s="8" t="str">
        <x:v>Population at year-end by region</x:v>
      </x:c>
      <x:c r="C13" s="8" t="str">
        <x:v>10 000 persons</x:v>
      </x:c>
      <x:c r="D13" s="8" t="str">
        <x:v>official public data</x:v>
      </x:c>
      <x:c r="E13" s="8" t="str">
        <x:v>2-5 Population at Year-end by Region</x:v>
      </x:c>
      <x:c r="F13" s="8" t="str">
        <x:v>https://www.stats.gov.cn/sj/ndsj/2025/html/E02-05.jpg</x:v>
      </x:c>
      <x:c r="G13" s="8" t="str">
        <x:v>2024 column transcribed; provincial sum excludes military personnel included in the national total.</x:v>
      </x:c>
    </x:row>
    <x:row r="14" ht="42" customHeight="1">
      <x:c r="A14" s="8" t="str">
        <x:v>disposable_income_yuan</x:v>
      </x:c>
      <x:c r="B14" s="8" t="str">
        <x:v>Per-capita disposable income of households</x:v>
      </x:c>
      <x:c r="C14" s="8" t="str">
        <x:v>yuan per person</x:v>
      </x:c>
      <x:c r="D14" s="8" t="str">
        <x:v>official public data</x:v>
      </x:c>
      <x:c r="E14" s="8" t="str">
        <x:v>6-18 Per Capita Disposable Income of Households by Region</x:v>
      </x:c>
      <x:c r="F14" s="8" t="str">
        <x:v>https://www.stats.gov.cn/sj/ndsj/2025/html/E06-18.jpg</x:v>
      </x:c>
      <x:c r="G14" s="8" t="str">
        <x:v>2024 column transcribed.</x:v>
      </x:c>
    </x:row>
    <x:row r="15" ht="42" customHeight="1">
      <x:c r="A15" s="8" t="str">
        <x:v>wastewater_cod_tonnes</x:v>
      </x:c>
      <x:c r="B15" s="8" t="str">
        <x:v>Chemical oxygen demand discharged in wastewater</x:v>
      </x:c>
      <x:c r="C15" s="8" t="str">
        <x:v>tonnes</x:v>
      </x:c>
      <x:c r="D15" s="8" t="str">
        <x:v>official public data</x:v>
      </x:c>
      <x:c r="E15" s="8" t="str">
        <x:v>8-10 Main Pollutant Contents Discharged in Wastewater by Region (2024)</x:v>
      </x:c>
      <x:c r="F15" s="8" t="str">
        <x:v>https://www.stats.gov.cn/sj/ndsj/2025/html/E08-10.jpg</x:v>
      </x:c>
      <x:c r="G15" s="8" t="str">
        <x:v>Transcribed; NBS marks this table as preliminary.</x:v>
      </x:c>
    </x:row>
    <x:row r="16" ht="42" customHeight="1">
      <x:c r="A16" s="8" t="str">
        <x:v>wastewater_total_phosphorus_tonnes</x:v>
      </x:c>
      <x:c r="B16" s="8" t="str">
        <x:v>Total phosphorus discharged in wastewater</x:v>
      </x:c>
      <x:c r="C16" s="8" t="str">
        <x:v>tonnes</x:v>
      </x:c>
      <x:c r="D16" s="8" t="str">
        <x:v>official public data</x:v>
      </x:c>
      <x:c r="E16" s="8" t="str">
        <x:v>8-10 Main Pollutant Contents Discharged in Wastewater by Region (2024)</x:v>
      </x:c>
      <x:c r="F16" s="8" t="str">
        <x:v>https://www.stats.gov.cn/sj/ndsj/2025/html/E08-10.jpg</x:v>
      </x:c>
      <x:c r="G16" s="8" t="str">
        <x:v>Transcribed; NBS marks this table as preliminary.</x:v>
      </x:c>
    </x:row>
    <x:row r="17" ht="42" customHeight="1">
      <x:c r="A17" s="8" t="str">
        <x:v>freight_total_10000_tonnes</x:v>
      </x:c>
      <x:c r="B17" s="8" t="str">
        <x:v>Total freight traffic by region</x:v>
      </x:c>
      <x:c r="C17" s="8" t="str">
        <x:v>10 000 tonnes</x:v>
      </x:c>
      <x:c r="D17" s="8" t="str">
        <x:v>official public data</x:v>
      </x:c>
      <x:c r="E17" s="8" t="str">
        <x:v>16-13 Freight Traffic by Region (2024)</x:v>
      </x:c>
      <x:c r="F17" s="8" t="str">
        <x:v>https://www.stats.gov.cn/sj/ndsj/2025/html/E16-13.jpg</x:v>
      </x:c>
      <x:c r="G17" s="8" t="str">
        <x:v>Transcribed; the national total also includes freight not classified by region.</x:v>
      </x:c>
    </x:row>
    <x:row r="18" ht="42" customHeight="1">
      <x:c r="A18" s="8" t="str">
        <x:v>enterprises_units</x:v>
      </x:c>
      <x:c r="B18" s="8" t="str">
        <x:v>Number of enterprises</x:v>
      </x:c>
      <x:c r="C18" s="8" t="str">
        <x:v>units</x:v>
      </x:c>
      <x:c r="D18" s="8" t="str">
        <x:v>official public data</x:v>
      </x:c>
      <x:c r="E18" s="8" t="str">
        <x:v>16-39 Informatization and E-Commerce of Enterprises by Region (2024)</x:v>
      </x:c>
      <x:c r="F18" s="8" t="str">
        <x:v>https://www.stats.gov.cn/sj/ndsj/2025/html/E16-39.jpg</x:v>
      </x:c>
      <x:c r="G18" s="8" t="str">
        <x:v>Transcribed.</x:v>
      </x:c>
    </x:row>
    <x:row r="19" ht="42" customHeight="1">
      <x:c r="A19" s="8" t="str">
        <x:v>ecommerce_enterprises_units</x:v>
      </x:c>
      <x:c r="B19" s="8" t="str">
        <x:v>Enterprises with e-commerce transactions</x:v>
      </x:c>
      <x:c r="C19" s="8" t="str">
        <x:v>units</x:v>
      </x:c>
      <x:c r="D19" s="8" t="str">
        <x:v>official public data</x:v>
      </x:c>
      <x:c r="E19" s="8" t="str">
        <x:v>16-39 Informatization and E-Commerce of Enterprises by Region (2024)</x:v>
      </x:c>
      <x:c r="F19" s="8" t="str">
        <x:v>https://www.stats.gov.cn/sj/ndsj/2025/html/E16-39.jpg</x:v>
      </x:c>
      <x:c r="G19" s="8" t="str">
        <x:v>Transcribed.</x:v>
      </x:c>
    </x:row>
    <x:row r="20" ht="42" customHeight="1">
      <x:c r="A20" s="8" t="str">
        <x:v>ecommerce_sales_100m_yuan</x:v>
      </x:c>
      <x:c r="B20" s="8" t="str">
        <x:v>Sales of enterprises through e-commerce</x:v>
      </x:c>
      <x:c r="C20" s="8" t="str">
        <x:v>100 million yuan</x:v>
      </x:c>
      <x:c r="D20" s="8" t="str">
        <x:v>official public data</x:v>
      </x:c>
      <x:c r="E20" s="8" t="str">
        <x:v>16-39 Informatization and E-Commerce of Enterprises by Region (2024)</x:v>
      </x:c>
      <x:c r="F20" s="8" t="str">
        <x:v>https://www.stats.gov.cn/sj/ndsj/2025/html/E16-39.jpg</x:v>
      </x:c>
      <x:c r="G20" s="8" t="str">
        <x:v>Transcribed.</x:v>
      </x:c>
    </x:row>
    <x:row r="21" ht="42" customHeight="1">
      <x:c r="A21" s="8" t="str">
        <x:v>data_status</x:v>
      </x:c>
      <x:c r="B21" s="8" t="str">
        <x:v>Evidence classification</x:v>
      </x:c>
      <x:c r="C21" s="8" t="str">
        <x:v>text</x:v>
      </x:c>
      <x:c r="D21" s="8" t="str">
        <x:v>provenance control</x:v>
      </x:c>
      <x:c r="E21" s="8" t="str">
        <x:v>Repository classification</x:v>
      </x:c>
      <x:c r="F21" s="8" t="str"/>
      <x:c r="G21" s="8" t="str">
        <x:v>All rows state that they are official public data and manual transcriptions; they are not historical author inputs.</x:v>
      </x:c>
    </x:row>
    <x:row r="22" ht="42" customHeight="1">
      <x:c r="A22" s="8" t="str">
        <x:v>transcription_note</x:v>
      </x:c>
      <x:c r="B22" s="8" t="str">
        <x:v>Rounding and transcription qualification</x:v>
      </x:c>
      <x:c r="C22" s="8" t="str">
        <x:v>text</x:v>
      </x:c>
      <x:c r="D22" s="8" t="str">
        <x:v>provenance control</x:v>
      </x:c>
      <x:c r="E22" s="8" t="str">
        <x:v>Repository classification</x:v>
      </x:c>
      <x:c r="F22" s="8" t="str"/>
      <x:c r="G22" s="8" t="str">
        <x:v>No interpolation or third-party value substitution.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10" hidden="0" customWidth="1"/>
    <x:col min="5" max="5" width="50" hidden="0" customWidth="1"/>
    <x:col min="6" max="6" width="64" hidden="0" customWidth="1"/>
    <x:col min="7" max="7" width="44" hidden="0" customWidth="1"/>
  </x:cols>
  <x:sheetData>
    <x:row r="1" ht="34" customHeight="1">
      <x:c r="A1" s="12" t="str">
        <x:v>metric</x:v>
      </x:c>
      <x:c r="B1" s="12" t="str">
        <x:v>value</x:v>
      </x:c>
      <x:c r="C1" s="12" t="str">
        <x:v>unit</x:v>
      </x:c>
      <x:c r="D1" s="12" t="str">
        <x:v>year</x:v>
      </x:c>
      <x:c r="E1" s="12" t="str">
        <x:v>source_table</x:v>
      </x:c>
      <x:c r="F1" s="12" t="str">
        <x:v>source_url</x:v>
      </x:c>
      <x:c r="G1" s="12" t="str">
        <x:v>note</x:v>
      </x:c>
    </x:row>
    <x:row r="2" ht="42" customHeight="1">
      <x:c r="A2" s="8" t="str">
        <x:v>aquatic_total</x:v>
      </x:c>
      <x:c r="B2" s="22" t="n">
        <x:v>7357.6</x:v>
      </x:c>
      <x:c r="C2" s="8" t="str">
        <x:v>10 000 tonnes</x:v>
      </x:c>
      <x:c r="D2" s="8" t="n">
        <x:v>2024</x:v>
      </x:c>
      <x:c r="E2" s="8" t="str">
        <x:v>12-15 Output of Aquatic Products</x:v>
      </x:c>
      <x:c r="F2" s="8" t="str">
        <x:v>https://www.stats.gov.cn/sj/ndsj/2025/html/E12-15.jpg</x:v>
      </x:c>
      <x:c r="G2" s="8" t="str">
        <x:v>National printed value.</x:v>
      </x:c>
    </x:row>
    <x:row r="3" ht="42" customHeight="1">
      <x:c r="A3" s="8" t="str">
        <x:v>marine_total</x:v>
      </x:c>
      <x:c r="B3" s="22" t="n">
        <x:v>3708.9</x:v>
      </x:c>
      <x:c r="C3" s="8" t="str">
        <x:v>10 000 tonnes</x:v>
      </x:c>
      <x:c r="D3" s="8" t="n">
        <x:v>2024</x:v>
      </x:c>
      <x:c r="E3" s="8" t="str">
        <x:v>12-15 Output of Aquatic Products</x:v>
      </x:c>
      <x:c r="F3" s="8" t="str">
        <x:v>https://www.stats.gov.cn/sj/ndsj/2025/html/E12-15.jpg</x:v>
      </x:c>
      <x:c r="G3" s="8" t="str">
        <x:v>National printed value.</x:v>
      </x:c>
    </x:row>
    <x:row r="4" ht="42" customHeight="1">
      <x:c r="A4" s="8" t="str">
        <x:v>marine_capture</x:v>
      </x:c>
      <x:c r="B4" s="22" t="n">
        <x:v>1181.2</x:v>
      </x:c>
      <x:c r="C4" s="8" t="str">
        <x:v>10 000 tonnes</x:v>
      </x:c>
      <x:c r="D4" s="8" t="n">
        <x:v>2024</x:v>
      </x:c>
      <x:c r="E4" s="8" t="str">
        <x:v>12-15 Output of Aquatic Products</x:v>
      </x:c>
      <x:c r="F4" s="8" t="str">
        <x:v>https://www.stats.gov.cn/sj/ndsj/2025/html/E12-15.jpg</x:v>
      </x:c>
      <x:c r="G4" s="8" t="str">
        <x:v>National printed value.</x:v>
      </x:c>
    </x:row>
    <x:row r="5" ht="42" customHeight="1">
      <x:c r="A5" s="8" t="str">
        <x:v>marine_aquaculture</x:v>
      </x:c>
      <x:c r="B5" s="22" t="n">
        <x:v>2527.6</x:v>
      </x:c>
      <x:c r="C5" s="8" t="str">
        <x:v>10 000 tonnes</x:v>
      </x:c>
      <x:c r="D5" s="8" t="n">
        <x:v>2024</x:v>
      </x:c>
      <x:c r="E5" s="8" t="str">
        <x:v>12-15 Output of Aquatic Products</x:v>
      </x:c>
      <x:c r="F5" s="8" t="str">
        <x:v>https://www.stats.gov.cn/sj/ndsj/2025/html/E12-15.jpg</x:v>
      </x:c>
      <x:c r="G5" s="8" t="str">
        <x:v>National printed value.</x:v>
      </x:c>
    </x:row>
    <x:row r="6" ht="42" customHeight="1">
      <x:c r="A6" s="8" t="str">
        <x:v>freshwater_total</x:v>
      </x:c>
      <x:c r="B6" s="22" t="n">
        <x:v>3648.7</x:v>
      </x:c>
      <x:c r="C6" s="8" t="str">
        <x:v>10 000 tonnes</x:v>
      </x:c>
      <x:c r="D6" s="8" t="n">
        <x:v>2024</x:v>
      </x:c>
      <x:c r="E6" s="8" t="str">
        <x:v>12-15 Output of Aquatic Products</x:v>
      </x:c>
      <x:c r="F6" s="8" t="str">
        <x:v>https://www.stats.gov.cn/sj/ndsj/2025/html/E12-15.jpg</x:v>
      </x:c>
      <x:c r="G6" s="8" t="str">
        <x:v>National printed value.</x:v>
      </x:c>
    </x:row>
    <x:row r="7" ht="42" customHeight="1">
      <x:c r="A7" s="8" t="str">
        <x:v>freshwater_capture</x:v>
      </x:c>
      <x:c r="B7" s="22" t="n">
        <x:v>116.3</x:v>
      </x:c>
      <x:c r="C7" s="8" t="str">
        <x:v>10 000 tonnes</x:v>
      </x:c>
      <x:c r="D7" s="8" t="n">
        <x:v>2024</x:v>
      </x:c>
      <x:c r="E7" s="8" t="str">
        <x:v>12-15 Output of Aquatic Products</x:v>
      </x:c>
      <x:c r="F7" s="8" t="str">
        <x:v>https://www.stats.gov.cn/sj/ndsj/2025/html/E12-15.jpg</x:v>
      </x:c>
      <x:c r="G7" s="8" t="str">
        <x:v>National printed value.</x:v>
      </x:c>
    </x:row>
    <x:row r="8" ht="42" customHeight="1">
      <x:c r="A8" s="8" t="str">
        <x:v>freshwater_aquaculture</x:v>
      </x:c>
      <x:c r="B8" s="22" t="n">
        <x:v>3532.4</x:v>
      </x:c>
      <x:c r="C8" s="8" t="str">
        <x:v>10 000 tonnes</x:v>
      </x:c>
      <x:c r="D8" s="8" t="n">
        <x:v>2024</x:v>
      </x:c>
      <x:c r="E8" s="8" t="str">
        <x:v>12-15 Output of Aquatic Products</x:v>
      </x:c>
      <x:c r="F8" s="8" t="str">
        <x:v>https://www.stats.gov.cn/sj/ndsj/2025/html/E12-15.jpg</x:v>
      </x:c>
      <x:c r="G8" s="8" t="str">
        <x:v>National printed value.</x:v>
      </x:c>
    </x:row>
    <x:row r="9" ht="42" customHeight="1">
      <x:c r="A9" s="8" t="str">
        <x:v>population</x:v>
      </x:c>
      <x:c r="B9" s="22" t="n">
        <x:v>140828</x:v>
      </x:c>
      <x:c r="C9" s="8" t="str">
        <x:v>10 000 persons</x:v>
      </x:c>
      <x:c r="D9" s="8" t="n">
        <x:v>2024</x:v>
      </x:c>
      <x:c r="E9" s="8" t="str">
        <x:v>2-5 Population at Year-end by Region</x:v>
      </x:c>
      <x:c r="F9" s="8" t="str">
        <x:v>https://www.stats.gov.cn/sj/ndsj/2025/html/E02-05.jpg</x:v>
      </x:c>
      <x:c r="G9" s="8" t="str">
        <x:v>Includes military personnel excluded from provincial rows.</x:v>
      </x:c>
    </x:row>
    <x:row r="10" ht="42" customHeight="1">
      <x:c r="A10" s="8" t="str">
        <x:v>disposable_income</x:v>
      </x:c>
      <x:c r="B10" s="22" t="n">
        <x:v>41314</x:v>
      </x:c>
      <x:c r="C10" s="8" t="str">
        <x:v>yuan per person</x:v>
      </x:c>
      <x:c r="D10" s="8" t="n">
        <x:v>2024</x:v>
      </x:c>
      <x:c r="E10" s="8" t="str">
        <x:v>6-18 Per Capita Disposable Income of Households by Region</x:v>
      </x:c>
      <x:c r="F10" s="8" t="str">
        <x:v>https://www.stats.gov.cn/sj/ndsj/2025/html/E06-18.jpg</x:v>
      </x:c>
      <x:c r="G10" s="8" t="str">
        <x:v>National average; it is not the arithmetic mean of provincial values.</x:v>
      </x:c>
    </x:row>
    <x:row r="11" ht="42" customHeight="1">
      <x:c r="A11" s="8" t="str">
        <x:v>wastewater_cod</x:v>
      </x:c>
      <x:c r="B11" s="22" t="n">
        <x:v>27998827</x:v>
      </x:c>
      <x:c r="C11" s="8" t="str">
        <x:v>tonnes</x:v>
      </x:c>
      <x:c r="D11" s="8" t="n">
        <x:v>2024</x:v>
      </x:c>
      <x:c r="E11" s="8" t="str">
        <x:v>8-10 Main Pollutant Contents Discharged in Wastewater by Region (2024)</x:v>
      </x:c>
      <x:c r="F11" s="8" t="str">
        <x:v>https://www.stats.gov.cn/sj/ndsj/2025/html/E08-10.jpg</x:v>
      </x:c>
      <x:c r="G11" s="8" t="str">
        <x:v>Preliminary.</x:v>
      </x:c>
    </x:row>
    <x:row r="12" ht="42" customHeight="1">
      <x:c r="A12" s="8" t="str">
        <x:v>wastewater_total_phosphorus</x:v>
      </x:c>
      <x:c r="B12" s="22" t="n">
        <x:v>390481</x:v>
      </x:c>
      <x:c r="C12" s="8" t="str">
        <x:v>tonnes</x:v>
      </x:c>
      <x:c r="D12" s="8" t="n">
        <x:v>2024</x:v>
      </x:c>
      <x:c r="E12" s="8" t="str">
        <x:v>8-10 Main Pollutant Contents Discharged in Wastewater by Region (2024)</x:v>
      </x:c>
      <x:c r="F12" s="8" t="str">
        <x:v>https://www.stats.gov.cn/sj/ndsj/2025/html/E08-10.jpg</x:v>
      </x:c>
      <x:c r="G12" s="8" t="str">
        <x:v>Preliminary.</x:v>
      </x:c>
    </x:row>
    <x:row r="13" ht="42" customHeight="1">
      <x:c r="A13" s="8" t="str">
        <x:v>freight_total</x:v>
      </x:c>
      <x:c r="B13" s="22" t="n">
        <x:v>5783625</x:v>
      </x:c>
      <x:c r="C13" s="8" t="str">
        <x:v>10 000 tonnes</x:v>
      </x:c>
      <x:c r="D13" s="8" t="n">
        <x:v>2024</x:v>
      </x:c>
      <x:c r="E13" s="8" t="str">
        <x:v>16-13 Freight Traffic by Region (2024)</x:v>
      </x:c>
      <x:c r="F13" s="8" t="str">
        <x:v>https://www.stats.gov.cn/sj/ndsj/2025/html/E16-13.jpg</x:v>
      </x:c>
      <x:c r="G13" s="8" t="str">
        <x:v>Includes 97072 not classified by region.</x:v>
      </x:c>
    </x:row>
    <x:row r="14" ht="42" customHeight="1">
      <x:c r="A14" s="8" t="str">
        <x:v>enterprises</x:v>
      </x:c>
      <x:c r="B14" s="22" t="n">
        <x:v>1605346</x:v>
      </x:c>
      <x:c r="C14" s="8" t="str">
        <x:v>units</x:v>
      </x:c>
      <x:c r="D14" s="8" t="n">
        <x:v>2024</x:v>
      </x:c>
      <x:c r="E14" s="8" t="str">
        <x:v>16-39 Informatization and E-Commerce of Enterprises by Region (2024)</x:v>
      </x:c>
      <x:c r="F14" s="8" t="str">
        <x:v>https://www.stats.gov.cn/sj/ndsj/2025/html/E16-39.jpg</x:v>
      </x:c>
      <x:c r="G14" s="8" t="str">
        <x:v>National printed value.</x:v>
      </x:c>
    </x:row>
    <x:row r="15" ht="42" customHeight="1">
      <x:c r="A15" s="8" t="str">
        <x:v>ecommerce_enterprises</x:v>
      </x:c>
      <x:c r="B15" s="22" t="n">
        <x:v>205026</x:v>
      </x:c>
      <x:c r="C15" s="8" t="str">
        <x:v>units</x:v>
      </x:c>
      <x:c r="D15" s="8" t="n">
        <x:v>2024</x:v>
      </x:c>
      <x:c r="E15" s="8" t="str">
        <x:v>16-39 Informatization and E-Commerce of Enterprises by Region (2024)</x:v>
      </x:c>
      <x:c r="F15" s="8" t="str">
        <x:v>https://www.stats.gov.cn/sj/ndsj/2025/html/E16-39.jpg</x:v>
      </x:c>
      <x:c r="G15" s="8" t="str">
        <x:v>National printed value.</x:v>
      </x:c>
    </x:row>
    <x:row r="16" ht="42" customHeight="1">
      <x:c r="A16" s="8" t="str">
        <x:v>ecommerce_sales</x:v>
      </x:c>
      <x:c r="B16" s="22" t="n">
        <x:v>386544</x:v>
      </x:c>
      <x:c r="C16" s="8" t="str">
        <x:v>100 million yuan</x:v>
      </x:c>
      <x:c r="D16" s="8" t="n">
        <x:v>2024</x:v>
      </x:c>
      <x:c r="E16" s="8" t="str">
        <x:v>16-39 Informatization and E-Commerce of Enterprises by Region (2024)</x:v>
      </x:c>
      <x:c r="F16" s="8" t="str">
        <x:v>https://www.stats.gov.cn/sj/ndsj/2025/html/E16-39.jpg</x:v>
      </x:c>
      <x:c r="G16" s="8" t="str">
        <x:v>National printed value.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40" hidden="0" customWidth="1"/>
    <x:col min="4" max="4" width="38" hidden="0" customWidth="1"/>
    <x:col min="5" max="5" width="62" hidden="0" customWidth="1"/>
    <x:col min="6" max="6" width="42" hidden="0" customWidth="1"/>
    <x:col min="7" max="7" width="38" hidden="0" customWidth="1"/>
    <x:col min="8" max="8" width="48" hidden="0" customWidth="1"/>
    <x:col min="9" max="9" width="15" hidden="0" customWidth="1"/>
    <x:col min="10" max="10" width="70" hidden="0" customWidth="1"/>
  </x:cols>
  <x:sheetData>
    <x:row r="1" ht="34" customHeight="1">
      <x:c r="A1" s="12" t="str">
        <x:v>source_id</x:v>
      </x:c>
      <x:c r="B1" s="12" t="str">
        <x:v>publisher</x:v>
      </x:c>
      <x:c r="C1" s="12" t="str">
        <x:v>dataset</x:v>
      </x:c>
      <x:c r="D1" s="12" t="str">
        <x:v>coverage</x:v>
      </x:c>
      <x:c r="E1" s="12" t="str">
        <x:v>url</x:v>
      </x:c>
      <x:c r="F1" s="12" t="str">
        <x:v>access</x:v>
      </x:c>
      <x:c r="G1" s="12" t="str">
        <x:v>license_or_terms</x:v>
      </x:c>
      <x:c r="H1" s="12" t="str">
        <x:v>repository_file</x:v>
      </x:c>
      <x:c r="I1" s="12" t="str">
        <x:v>retrieved_on</x:v>
      </x:c>
      <x:c r="J1" s="12" t="str">
        <x:v>notes</x:v>
      </x:c>
    </x:row>
    <x:row r="2" ht="42" customHeight="1">
      <x:c r="A2" s="8" t="str">
        <x:v>world_bank_er_fsh_prod_mt</x:v>
      </x:c>
      <x:c r="B2" s="8" t="str">
        <x:v>World Bank / FAO</x:v>
      </x:c>
      <x:c r="C2" s="8" t="str">
        <x:v>Total fisheries production</x:v>
      </x:c>
      <x:c r="D2" s="8" t="str">
        <x:v>China, 2014-2023 snapshot</x:v>
      </x:c>
      <x:c r="E2" s="8" t="str">
        <x:v>https://api.worldbank.org/v2/country/CHN/indicator/ER.FSH.PROD.MT?format=json&amp;date=2014:2023&amp;per_page=100</x:v>
      </x:c>
      <x:c r="F2" s="8" t="str">
        <x:v>Downloaded and normalized</x:v>
      </x:c>
      <x:c r="G2" s="8" t="str">
        <x:v>CC BY 4.0</x:v>
      </x:c>
      <x:c r="H2" s="8" t="str">
        <x:v>data/public/world_bank_fao_china_fisheries_2014_2023.csv</x:v>
      </x:c>
      <x:c r="I2" s="8" t="str">
        <x:v>2026-07-23</x:v>
      </x:c>
      <x:c r="J2" s="8" t="str">
        <x:v>National series; not a substitute for the missing 31-province coefficient matrix.</x:v>
      </x:c>
    </x:row>
    <x:row r="3" ht="42" customHeight="1">
      <x:c r="A3" s="8" t="str">
        <x:v>world_bank_er_fsh_aqua_mt</x:v>
      </x:c>
      <x:c r="B3" s="8" t="str">
        <x:v>World Bank / FAO</x:v>
      </x:c>
      <x:c r="C3" s="8" t="str">
        <x:v>Aquaculture production</x:v>
      </x:c>
      <x:c r="D3" s="8" t="str">
        <x:v>China, 2014-2023 snapshot</x:v>
      </x:c>
      <x:c r="E3" s="8" t="str">
        <x:v>https://api.worldbank.org/v2/country/CHN/indicator/ER.FSH.AQUA.MT?format=json&amp;date=2014:2023&amp;per_page=100</x:v>
      </x:c>
      <x:c r="F3" s="8" t="str">
        <x:v>Downloaded and normalized</x:v>
      </x:c>
      <x:c r="G3" s="8" t="str">
        <x:v>CC BY 4.0</x:v>
      </x:c>
      <x:c r="H3" s="8" t="str">
        <x:v>data/public/world_bank_fao_china_fisheries_2014_2023.csv</x:v>
      </x:c>
      <x:c r="I3" s="8" t="str">
        <x:v>2026-07-23</x:v>
      </x:c>
      <x:c r="J3" s="8" t="str">
        <x:v>National series; not a substitute for the missing 31-province coefficient matrix.</x:v>
      </x:c>
    </x:row>
    <x:row r="4" ht="42" customHeight="1">
      <x:c r="A4" s="8" t="str">
        <x:v>world_bank_er_fsh_capt_mt</x:v>
      </x:c>
      <x:c r="B4" s="8" t="str">
        <x:v>World Bank / FAO</x:v>
      </x:c>
      <x:c r="C4" s="8" t="str">
        <x:v>Capture fisheries production</x:v>
      </x:c>
      <x:c r="D4" s="8" t="str">
        <x:v>China, 2014-2023 snapshot</x:v>
      </x:c>
      <x:c r="E4" s="8" t="str">
        <x:v>https://api.worldbank.org/v2/country/CHN/indicator/ER.FSH.CAPT.MT?format=json&amp;date=2014:2023&amp;per_page=100</x:v>
      </x:c>
      <x:c r="F4" s="8" t="str">
        <x:v>Downloaded and normalized</x:v>
      </x:c>
      <x:c r="G4" s="8" t="str">
        <x:v>CC BY 4.0</x:v>
      </x:c>
      <x:c r="H4" s="8" t="str">
        <x:v>data/public/world_bank_fao_china_fisheries_2014_2023.csv</x:v>
      </x:c>
      <x:c r="I4" s="8" t="str">
        <x:v>2026-07-23</x:v>
      </x:c>
      <x:c r="J4" s="8" t="str">
        <x:v>National series; not a substitute for the missing 31-province coefficient matrix.</x:v>
      </x:c>
    </x:row>
    <x:row r="5" ht="42" customHeight="1">
      <x:c r="A5" s="8" t="str">
        <x:v>moa_communique_2015</x:v>
      </x:c>
      <x:c r="B5" s="8" t="str">
        <x:v>Ministry of Agriculture and Rural Affairs of the PRC</x:v>
      </x:c>
      <x:c r="C5" s="8" t="str">
        <x:v>2015 national fishery economic statistics communique</x:v>
      </x:c>
      <x:c r="D5" s="8" t="str">
        <x:v>China, 2015</x:v>
      </x:c>
      <x:c r="E5" s="8" t="str">
        <x:v>https://yyj.moa.gov.cn/gzdt/201904/t20190418_6195519.htm</x:v>
      </x:c>
      <x:c r="F5" s="8" t="str">
        <x:v>Key statistics extracted from official HTML</x:v>
      </x:c>
      <x:c r="G5" s="8" t="str">
        <x:v>Official website terms apply; numerical facts extracted with attribution</x:v>
      </x:c>
      <x:c r="H5" s="8" t="str">
        <x:v>data/public/moa_national_fishery_statistics.csv</x:v>
      </x:c>
      <x:c r="I5" s="8" t="str">
        <x:v>2026-07-23</x:v>
      </x:c>
      <x:c r="J5" s="8" t="str">
        <x:v>2017 is an attachment-only legacy DOC and 2018 was not available as an accessible official HTML page; neither is silently interpolated.</x:v>
      </x:c>
    </x:row>
    <x:row r="6" ht="42" customHeight="1">
      <x:c r="A6" s="8" t="str">
        <x:v>moa_communique_2016</x:v>
      </x:c>
      <x:c r="B6" s="8" t="str">
        <x:v>Ministry of Agriculture and Rural Affairs of the PRC</x:v>
      </x:c>
      <x:c r="C6" s="8" t="str">
        <x:v>2016 national fishery economic statistics communique</x:v>
      </x:c>
      <x:c r="D6" s="8" t="str">
        <x:v>China, 2016</x:v>
      </x:c>
      <x:c r="E6" s="8" t="str">
        <x:v>https://yyj.moa.gov.cn/gzdt/201904/t20190418_6195820.htm</x:v>
      </x:c>
      <x:c r="F6" s="8" t="str">
        <x:v>Key statistics extracted from official HTML</x:v>
      </x:c>
      <x:c r="G6" s="8" t="str">
        <x:v>Official website terms apply; numerical facts extracted with attribution</x:v>
      </x:c>
      <x:c r="H6" s="8" t="str">
        <x:v>data/public/moa_national_fishery_statistics.csv</x:v>
      </x:c>
      <x:c r="I6" s="8" t="str">
        <x:v>2026-07-23</x:v>
      </x:c>
      <x:c r="J6" s="8" t="str">
        <x:v>2017 is an attachment-only legacy DOC and 2018 was not available as an accessible official HTML page; neither is silently interpolated.</x:v>
      </x:c>
    </x:row>
    <x:row r="7" ht="42" customHeight="1">
      <x:c r="A7" s="8" t="str">
        <x:v>moa_communique_2019</x:v>
      </x:c>
      <x:c r="B7" s="8" t="str">
        <x:v>Ministry of Agriculture and Rural Affairs of the PRC</x:v>
      </x:c>
      <x:c r="C7" s="8" t="str">
        <x:v>2019 national fishery economic statistics communique</x:v>
      </x:c>
      <x:c r="D7" s="8" t="str">
        <x:v>China, 2019</x:v>
      </x:c>
      <x:c r="E7" s="8" t="str">
        <x:v>https://cnafun.moa.gov.cn/kx/gn/202006/t20200619_6346974.html</x:v>
      </x:c>
      <x:c r="F7" s="8" t="str">
        <x:v>Key statistics extracted from official HTML</x:v>
      </x:c>
      <x:c r="G7" s="8" t="str">
        <x:v>Official website terms apply; numerical facts extracted with attribution</x:v>
      </x:c>
      <x:c r="H7" s="8" t="str">
        <x:v>data/public/moa_national_fishery_statistics.csv</x:v>
      </x:c>
      <x:c r="I7" s="8" t="str">
        <x:v>2026-07-23</x:v>
      </x:c>
      <x:c r="J7" s="8" t="str">
        <x:v>2017 is an attachment-only legacy DOC and 2018 was not available as an accessible official HTML page; neither is silently interpolated.</x:v>
      </x:c>
    </x:row>
    <x:row r="8" ht="42" customHeight="1">
      <x:c r="A8" s="8" t="str">
        <x:v>moa_communique_2020</x:v>
      </x:c>
      <x:c r="B8" s="8" t="str">
        <x:v>Ministry of Agriculture and Rural Affairs of the PRC</x:v>
      </x:c>
      <x:c r="C8" s="8" t="str">
        <x:v>2020 national fishery economic statistics communique</x:v>
      </x:c>
      <x:c r="D8" s="8" t="str">
        <x:v>China, 2020</x:v>
      </x:c>
      <x:c r="E8" s="8" t="str">
        <x:v>https://yyj.moa.gov.cn/gzdt/202107/t20210728_6372958.htm</x:v>
      </x:c>
      <x:c r="F8" s="8" t="str">
        <x:v>Key statistics extracted from official HTML</x:v>
      </x:c>
      <x:c r="G8" s="8" t="str">
        <x:v>Official website terms apply; numerical facts extracted with attribution</x:v>
      </x:c>
      <x:c r="H8" s="8" t="str">
        <x:v>data/public/moa_national_fishery_statistics.csv</x:v>
      </x:c>
      <x:c r="I8" s="8" t="str">
        <x:v>2026-07-23</x:v>
      </x:c>
      <x:c r="J8" s="8" t="str">
        <x:v>2017 is an attachment-only legacy DOC and 2018 was not available as an accessible official HTML page; neither is silently interpolated.</x:v>
      </x:c>
    </x:row>
    <x:row r="9" ht="42" customHeight="1">
      <x:c r="A9" s="8" t="str">
        <x:v>moa_communique_2021</x:v>
      </x:c>
      <x:c r="B9" s="8" t="str">
        <x:v>Ministry of Agriculture and Rural Affairs of the PRC</x:v>
      </x:c>
      <x:c r="C9" s="8" t="str">
        <x:v>2021 national fishery economic statistics communique</x:v>
      </x:c>
      <x:c r="D9" s="8" t="str">
        <x:v>China, 2021</x:v>
      </x:c>
      <x:c r="E9" s="8" t="str">
        <x:v>https://yyj.moa.gov.cn/gzdt/202207/t20220721_6405222.htm</x:v>
      </x:c>
      <x:c r="F9" s="8" t="str">
        <x:v>Key statistics extracted from official HTML</x:v>
      </x:c>
      <x:c r="G9" s="8" t="str">
        <x:v>Official website terms apply; numerical facts extracted with attribution</x:v>
      </x:c>
      <x:c r="H9" s="8" t="str">
        <x:v>data/public/moa_national_fishery_statistics.csv</x:v>
      </x:c>
      <x:c r="I9" s="8" t="str">
        <x:v>2026-07-23</x:v>
      </x:c>
      <x:c r="J9" s="8" t="str">
        <x:v>2017 is an attachment-only legacy DOC and 2018 was not available as an accessible official HTML page; neither is silently interpolated.</x:v>
      </x:c>
    </x:row>
    <x:row r="10" ht="42" customHeight="1">
      <x:c r="A10" s="8" t="str">
        <x:v>moa_communique_2022</x:v>
      </x:c>
      <x:c r="B10" s="8" t="str">
        <x:v>Ministry of Agriculture and Rural Affairs of the PRC</x:v>
      </x:c>
      <x:c r="C10" s="8" t="str">
        <x:v>2022 national fishery economic statistics communique</x:v>
      </x:c>
      <x:c r="D10" s="8" t="str">
        <x:v>China, 2022</x:v>
      </x:c>
      <x:c r="E10" s="8" t="str">
        <x:v>https://yyj.moa.gov.cn/yqxx/202306/t20230628_6431131.htm</x:v>
      </x:c>
      <x:c r="F10" s="8" t="str">
        <x:v>Key statistics extracted from official HTML</x:v>
      </x:c>
      <x:c r="G10" s="8" t="str">
        <x:v>Official website terms apply; numerical facts extracted with attribution</x:v>
      </x:c>
      <x:c r="H10" s="8" t="str">
        <x:v>data/public/moa_national_fishery_statistics.csv</x:v>
      </x:c>
      <x:c r="I10" s="8" t="str">
        <x:v>2026-07-23</x:v>
      </x:c>
      <x:c r="J10" s="8" t="str">
        <x:v>2017 is an attachment-only legacy DOC and 2018 was not available as an accessible official HTML page; neither is silently interpolated.</x:v>
      </x:c>
    </x:row>
    <x:row r="11" ht="42" customHeight="1">
      <x:c r="A11" s="8" t="str">
        <x:v>moa_communique_2023</x:v>
      </x:c>
      <x:c r="B11" s="8" t="str">
        <x:v>Ministry of Agriculture and Rural Affairs of the PRC</x:v>
      </x:c>
      <x:c r="C11" s="8" t="str">
        <x:v>2023 national fishery economic statistics communique</x:v>
      </x:c>
      <x:c r="D11" s="8" t="str">
        <x:v>China, 2023</x:v>
      </x:c>
      <x:c r="E11" s="8" t="str">
        <x:v>https://yyj.moa.gov.cn/gzdt/202407/t20240705_6458486.htm</x:v>
      </x:c>
      <x:c r="F11" s="8" t="str">
        <x:v>Key statistics extracted from official HTML</x:v>
      </x:c>
      <x:c r="G11" s="8" t="str">
        <x:v>Official website terms apply; numerical facts extracted with attribution</x:v>
      </x:c>
      <x:c r="H11" s="8" t="str">
        <x:v>data/public/moa_national_fishery_statistics.csv</x:v>
      </x:c>
      <x:c r="I11" s="8" t="str">
        <x:v>2026-07-23</x:v>
      </x:c>
      <x:c r="J11" s="8" t="str">
        <x:v>2017 is an attachment-only legacy DOC and 2018 was not available as an accessible official HTML page; neither is silently interpolated.</x:v>
      </x:c>
    </x:row>
    <x:row r="12" ht="42" customHeight="1">
      <x:c r="A12" s="8" t="str">
        <x:v>moa_communique_2024</x:v>
      </x:c>
      <x:c r="B12" s="8" t="str">
        <x:v>Ministry of Agriculture and Rural Affairs of the PRC</x:v>
      </x:c>
      <x:c r="C12" s="8" t="str">
        <x:v>2024 national fishery economic statistics communique</x:v>
      </x:c>
      <x:c r="D12" s="8" t="str">
        <x:v>China, 2024</x:v>
      </x:c>
      <x:c r="E12" s="8" t="str">
        <x:v>https://yyj.moa.gov.cn/gzdt/202507/t20250707_6475475.htm</x:v>
      </x:c>
      <x:c r="F12" s="8" t="str">
        <x:v>Key statistics extracted from official HTML</x:v>
      </x:c>
      <x:c r="G12" s="8" t="str">
        <x:v>Official website terms apply; numerical facts extracted with attribution</x:v>
      </x:c>
      <x:c r="H12" s="8" t="str">
        <x:v>data/public/moa_national_fishery_statistics.csv</x:v>
      </x:c>
      <x:c r="I12" s="8" t="str">
        <x:v>2026-07-23</x:v>
      </x:c>
      <x:c r="J12" s="8" t="str">
        <x:v>2017 is an attachment-only legacy DOC and 2018 was not available as an accessible official HTML page; neither is silently interpolated.</x:v>
      </x:c>
    </x:row>
    <x:row r="13" ht="42" customHeight="1">
      <x:c r="A13" s="8" t="str">
        <x:v>moa_2024_detailed</x:v>
      </x:c>
      <x:c r="B13" s="8" t="str">
        <x:v>Ministry of Agriculture and Rural Affairs of the PRC</x:v>
      </x:c>
      <x:c r="C13" s="8" t="str">
        <x:v>2024 national fishery economic statistics communique, detailed extraction</x:v>
      </x:c>
      <x:c r="D13" s="8" t="str">
        <x:v>China, 2024; economy, production, species, area, fleet, population, processing, trade, disasters</x:v>
      </x:c>
      <x:c r="E13" s="8" t="str">
        <x:v>https://yyj.moa.gov.cn/gzdt/202507/t20250707_6475475.htm</x:v>
      </x:c>
      <x:c r="F13" s="8" t="str">
        <x:v>Detailed statistics extracted and normalized from official HTML</x:v>
      </x:c>
      <x:c r="G13" s="8" t="str">
        <x:v>Official website terms apply; numerical facts extracted with attribution</x:v>
      </x:c>
      <x:c r="H13" s="8" t="str">
        <x:v>data/public/moa_2024_detailed_fishery_statistics.csv</x:v>
      </x:c>
      <x:c r="I13" s="8" t="str">
        <x:v>2026-07-23</x:v>
      </x:c>
      <x:c r="J13" s="8" t="str">
        <x:v>经过处理的数据（公开来源）; reported values and units are retained beside normalized values.</x:v>
      </x:c>
    </x:row>
    <x:row r="14" ht="42" customHeight="1">
      <x:c r="A14" s="8" t="str">
        <x:v>moa_environment_2024</x:v>
      </x:c>
      <x:c r="B14" s="8" t="str">
        <x:v>Ministry of Agriculture and Rural Affairs / Ministry of Ecology and Environment</x:v>
      </x:c>
      <x:c r="C14" s="8" t="str">
        <x:v>China fishery ecological environment status communique 2024 summary</x:v>
      </x:c>
      <x:c r="D14" s="8" t="str">
        <x:v>China, 2024; monitoring network and selected exceedance-area changes</x:v>
      </x:c>
      <x:c r="E14" s="8" t="str">
        <x:v>https://cjyzbgs.moa.gov.cn/gzdt/202509/t20250918_6477465.htm</x:v>
      </x:c>
      <x:c r="F14" s="8" t="str">
        <x:v>Statistics extracted and normalized from official HTML summary</x:v>
      </x:c>
      <x:c r="G14" s="8" t="str">
        <x:v>Official website terms apply; numerical facts extracted with attribution</x:v>
      </x:c>
      <x:c r="H14" s="8" t="str">
        <x:v>data/public/moa_fishery_environment_2024.csv</x:v>
      </x:c>
      <x:c r="I14" s="8" t="str">
        <x:v>2026-07-23</x:v>
      </x:c>
      <x:c r="J14" s="8" t="str">
        <x:v>经过处理的数据（公开来源）; decline magnitudes are not absolute concentration levels.</x:v>
      </x:c>
    </x:row>
    <x:row r="15" ht="42" customHeight="1">
      <x:c r="A15" s="8" t="str">
        <x:v>nbs_2025_aquatic_products</x:v>
      </x:c>
      <x:c r="B15" s="8" t="str">
        <x:v>National Bureau of Statistics of China</x:v>
      </x:c>
      <x:c r="C15" s="8" t="str">
        <x:v>2025 national economic and social development statistical communique</x:v>
      </x:c>
      <x:c r="D15" s="8" t="str">
        <x:v>China, 2025; total, aquaculture and capture production</x:v>
      </x:c>
      <x:c r="E15" s="8" t="str">
        <x:v>https://www.stats.gov.cn/sj/zxfb/202602/t20260228_1962662.html</x:v>
      </x:c>
      <x:c r="F15" s="8" t="str">
        <x:v>Statistics extracted and normalized from official HTML</x:v>
      </x:c>
      <x:c r="G15" s="8" t="str">
        <x:v>National Bureau of Statistics website terms apply</x:v>
      </x:c>
      <x:c r="H15" s="8" t="str">
        <x:v>data/public/official_latest_aquatic_products_2025.csv</x:v>
      </x:c>
      <x:c r="I15" s="8" t="str">
        <x:v>2026-07-23</x:v>
      </x:c>
      <x:c r="J15" s="8" t="str">
        <x:v>经过处理的数据（公开来源）; national rows use production-method categories.</x:v>
      </x:c>
    </x:row>
    <x:row r="16" ht="42" customHeight="1">
      <x:c r="A16" s="8" t="str">
        <x:v>zhejiang_2025_aquatic_products</x:v>
      </x:c>
      <x:c r="B16" s="8" t="str">
        <x:v>Zhejiang Provincial Bureau of Statistics / NBS Zhejiang Survey Office</x:v>
      </x:c>
      <x:c r="C16" s="8" t="str">
        <x:v>2025 Zhejiang economic and social development statistical communique</x:v>
      </x:c>
      <x:c r="D16" s="8" t="str">
        <x:v>Zhejiang, 2025; total, marine and freshwater production</x:v>
      </x:c>
      <x:c r="E16" s="8" t="str">
        <x:v>https://zjzd.stats.gov.cn/zwgk/zfxxgkml/tjxx/tjgb/art/2026/art_48c3c7315981425f9c25b53eab4d65d0.html</x:v>
      </x:c>
      <x:c r="F16" s="8" t="str">
        <x:v>Statistics extracted and normalized from official HTML</x:v>
      </x:c>
      <x:c r="G16" s="8" t="str">
        <x:v>Zhejiang statistics website terms apply</x:v>
      </x:c>
      <x:c r="H16" s="8" t="str">
        <x:v>data/public/official_latest_aquatic_products_2025.csv</x:v>
      </x:c>
      <x:c r="I16" s="8" t="str">
        <x:v>2026-07-23</x:v>
      </x:c>
      <x:c r="J16" s="8" t="str">
        <x:v>经过处理的数据（公开来源）; Zhejiang rows use water-body categories.</x:v>
      </x:c>
    </x:row>
    <x:row r="17" ht="42" customHeight="1">
      <x:c r="A17" s="8" t="str">
        <x:v>nbs_a0407</x:v>
      </x:c>
      <x:c r="B17" s="8" t="str">
        <x:v>National Bureau of Statistics of China</x:v>
      </x:c>
      <x:c r="C17" s="8" t="str">
        <x:v>Provincial annual aquatic-product production indicator A0407</x:v>
      </x:c>
      <x:c r="D17" s="8" t="str">
        <x:v>31 provincial-level regions; coverage depends on sub-indicator</x:v>
      </x:c>
      <x:c r="E17" s="8" t="str">
        <x:v>https://data.stats.gov.cn/easyquery.htm?cn=E0103&amp;zb=A0407</x:v>
      </x:c>
      <x:c r="F17" s="8" t="str">
        <x:v>Link and indicator code documented; automated endpoint returned HTTP 403 during retrieval</x:v>
      </x:c>
      <x:c r="G17" s="8" t="str">
        <x:v>National Bureau of Statistics website terms apply</x:v>
      </x:c>
      <x:c r="H17" s="8" t="str"/>
      <x:c r="I17" s="8" t="str">
        <x:v>2026-07-23</x:v>
      </x:c>
      <x:c r="J17" s="8" t="str">
        <x:v>Not redistributed because a reliable machine-readable download could not be obtained from the official endpoint.</x:v>
      </x:c>
    </x:row>
    <x:row r="18" ht="42" customHeight="1">
      <x:c r="A18" s="8" t="str">
        <x:v>china_fisheries_statistical_yearbook</x:v>
      </x:c>
      <x:c r="B18" s="8" t="str">
        <x:v>China Agriculture Press / Ministry statistical system</x:v>
      </x:c>
      <x:c r="C18" s="8" t="str">
        <x:v>China Fisheries Statistical Yearbook</x:v>
      </x:c>
      <x:c r="D18" s="8" t="str">
        <x:v>Province-level detailed fishery statistics</x:v>
      </x:c>
      <x:c r="E18" s="8" t="str">
        <x:v>https://www.stats.gov.cn/fw/bmdcxmsp/bmzd/202302/t20230215_1907093.html</x:v>
      </x:c>
      <x:c r="F18" s="8" t="str">
        <x:v>Commercial/copyrighted yearbook; not copied</x:v>
      </x:c>
      <x:c r="G18" s="8" t="str">
        <x:v>Copyrighted publication</x:v>
      </x:c>
      <x:c r="H18" s="8" t="str"/>
      <x:c r="I18" s="8" t="str">
        <x:v>2026-07-23</x:v>
      </x:c>
      <x:c r="J18" s="8" t="str">
        <x:v>The official statistical-system page explains that annual results are published through the yearbook.</x:v>
      </x:c>
    </x:row>
    <x:row r="19" ht="42" customHeight="1">
      <x:c r="A19" s="8" t="str">
        <x:v>nbs_yearbook_2025_table_02_05</x:v>
      </x:c>
      <x:c r="B19" s="8" t="str">
        <x:v>National Bureau of Statistics of China</x:v>
      </x:c>
      <x:c r="C19" s="8" t="str">
        <x:v>Population at Year-end by Region</x:v>
      </x:c>
      <x:c r="D19" s="8" t="str">
        <x:v>31 province-level regions, 2024</x:v>
      </x:c>
      <x:c r="E19" s="8" t="str">
        <x:v>https://www.stats.gov.cn/sj/ndsj/2025/html/E02-05.jpg</x:v>
      </x:c>
      <x:c r="F19" s="8" t="str">
        <x:v>Official yearbook table downloaded and manually transcribed</x:v>
      </x:c>
      <x:c r="G19" s="8" t="str">
        <x:v>Official website terms apply; numerical facts extracted with attribution</x:v>
      </x:c>
      <x:c r="H19" s="8" t="str">
        <x:v>data/public/nbs_2024_31_province_public_panel.csv</x:v>
      </x:c>
      <x:c r="I19" s="8" t="str">
        <x:v>2026-09-11</x:v>
      </x:c>
      <x:c r="J19" s="8" t="str">
        <x:v>Social/demographic proxy only; the national total includes military personnel excluded from province rows.</x:v>
      </x:c>
    </x:row>
    <x:row r="20" ht="42" customHeight="1">
      <x:c r="A20" s="8" t="str">
        <x:v>nbs_yearbook_2025_table_06_18</x:v>
      </x:c>
      <x:c r="B20" s="8" t="str">
        <x:v>National Bureau of Statistics of China</x:v>
      </x:c>
      <x:c r="C20" s="8" t="str">
        <x:v>Per Capita Disposable Income of Households by Region</x:v>
      </x:c>
      <x:c r="D20" s="8" t="str">
        <x:v>31 province-level regions, 2024</x:v>
      </x:c>
      <x:c r="E20" s="8" t="str">
        <x:v>https://www.stats.gov.cn/sj/ndsj/2025/html/E06-18.jpg</x:v>
      </x:c>
      <x:c r="F20" s="8" t="str">
        <x:v>Official yearbook table downloaded and manually transcribed</x:v>
      </x:c>
      <x:c r="G20" s="8" t="str">
        <x:v>Official website terms apply; numerical facts extracted with attribution</x:v>
      </x:c>
      <x:c r="H20" s="8" t="str">
        <x:v>data/public/nbs_2024_31_province_public_panel.csv</x:v>
      </x:c>
      <x:c r="I20" s="8" t="str">
        <x:v>2026-09-11</x:v>
      </x:c>
      <x:c r="J20" s="8" t="str">
        <x:v>Economic proxy; not a fishery-specific wage or coefficient series.</x:v>
      </x:c>
    </x:row>
    <x:row r="21" ht="42" customHeight="1">
      <x:c r="A21" s="8" t="str">
        <x:v>nbs_yearbook_2025_table_08_10</x:v>
      </x:c>
      <x:c r="B21" s="8" t="str">
        <x:v>National Bureau of Statistics of China</x:v>
      </x:c>
      <x:c r="C21" s="8" t="str">
        <x:v>Main Pollutant Contents Discharged in Wastewater by Region</x:v>
      </x:c>
      <x:c r="D21" s="8" t="str">
        <x:v>31 province-level regions, 2024</x:v>
      </x:c>
      <x:c r="E21" s="8" t="str">
        <x:v>https://www.stats.gov.cn/sj/ndsj/2025/html/E08-10.jpg</x:v>
      </x:c>
      <x:c r="F21" s="8" t="str">
        <x:v>Official yearbook table downloaded and manually transcribed</x:v>
      </x:c>
      <x:c r="G21" s="8" t="str">
        <x:v>Official website terms apply; numerical facts extracted with attribution</x:v>
      </x:c>
      <x:c r="H21" s="8" t="str">
        <x:v>data/public/nbs_2024_31_province_public_panel.csv</x:v>
      </x:c>
      <x:c r="I21" s="8" t="str">
        <x:v>2026-09-11</x:v>
      </x:c>
      <x:c r="J21" s="8" t="str">
        <x:v>Preliminary general wastewater data; not a fishery-water-quality measurement.</x:v>
      </x:c>
    </x:row>
    <x:row r="22" ht="42" customHeight="1">
      <x:c r="A22" s="8" t="str">
        <x:v>nbs_yearbook_2025_table_12_15</x:v>
      </x:c>
      <x:c r="B22" s="8" t="str">
        <x:v>National Bureau of Statistics of China</x:v>
      </x:c>
      <x:c r="C22" s="8" t="str">
        <x:v>Output of Aquatic Products</x:v>
      </x:c>
      <x:c r="D22" s="8" t="str">
        <x:v>31 province-level regions and national total, 2024</x:v>
      </x:c>
      <x:c r="E22" s="8" t="str">
        <x:v>https://www.stats.gov.cn/sj/ndsj/2025/html/E12-15.jpg</x:v>
      </x:c>
      <x:c r="F22" s="8" t="str">
        <x:v>Official yearbook table downloaded and manually transcribed</x:v>
      </x:c>
      <x:c r="G22" s="8" t="str">
        <x:v>Official website terms apply; numerical facts extracted with attribution</x:v>
      </x:c>
      <x:c r="H22" s="8" t="str">
        <x:v>data/public/nbs_2024_31_province_public_panel.csv</x:v>
      </x:c>
      <x:c r="I22" s="8" t="str">
        <x:v>2026-09-11</x:v>
      </x:c>
      <x:c r="J22" s="8" t="str">
        <x:v>Primary public production backbone with marine/freshwater and capture/aquaculture components.</x:v>
      </x:c>
    </x:row>
    <x:row r="23" ht="42" customHeight="1">
      <x:c r="A23" s="8" t="str">
        <x:v>nbs_yearbook_2025_table_16_13</x:v>
      </x:c>
      <x:c r="B23" s="8" t="str">
        <x:v>National Bureau of Statistics of China</x:v>
      </x:c>
      <x:c r="C23" s="8" t="str">
        <x:v>Freight Traffic by Region</x:v>
      </x:c>
      <x:c r="D23" s="8" t="str">
        <x:v>31 province-level regions, 2024</x:v>
      </x:c>
      <x:c r="E23" s="8" t="str">
        <x:v>https://www.stats.gov.cn/sj/ndsj/2025/html/E16-13.jpg</x:v>
      </x:c>
      <x:c r="F23" s="8" t="str">
        <x:v>Official yearbook table downloaded and manually transcribed</x:v>
      </x:c>
      <x:c r="G23" s="8" t="str">
        <x:v>Official website terms apply; numerical facts extracted with attribution</x:v>
      </x:c>
      <x:c r="H23" s="8" t="str">
        <x:v>data/public/nbs_2024_31_province_public_panel.csv</x:v>
      </x:c>
      <x:c r="I23" s="8" t="str">
        <x:v>2026-09-11</x:v>
      </x:c>
      <x:c r="J23" s="8" t="str">
        <x:v>Economy-wide logistics proxy; national total contains a separately printed not-classified amount.</x:v>
      </x:c>
    </x:row>
    <x:row r="24" ht="42" customHeight="1">
      <x:c r="A24" s="8" t="str">
        <x:v>nbs_yearbook_2025_table_16_39</x:v>
      </x:c>
      <x:c r="B24" s="8" t="str">
        <x:v>National Bureau of Statistics of China</x:v>
      </x:c>
      <x:c r="C24" s="8" t="str">
        <x:v>Informatization and E-Commerce of Enterprises by Region</x:v>
      </x:c>
      <x:c r="D24" s="8" t="str">
        <x:v>31 province-level regions, 2024</x:v>
      </x:c>
      <x:c r="E24" s="8" t="str">
        <x:v>https://www.stats.gov.cn/sj/ndsj/2025/html/E16-39.jpg</x:v>
      </x:c>
      <x:c r="F24" s="8" t="str">
        <x:v>Official yearbook table downloaded and manually transcribed</x:v>
      </x:c>
      <x:c r="G24" s="8" t="str">
        <x:v>Official website terms apply; numerical facts extracted with attribution</x:v>
      </x:c>
      <x:c r="H24" s="8" t="str">
        <x:v>data/public/nbs_2024_31_province_public_panel.csv</x:v>
      </x:c>
      <x:c r="I24" s="8" t="str">
        <x:v>2026-09-11</x:v>
      </x:c>
      <x:c r="J24" s="8" t="str">
        <x:v>External digital/marketing proxy; not the paper's unreleased fishery EWM index.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6" hidden="0" customWidth="1"/>
  </x:cols>
  <x:sheetData>
    <x:row r="1" ht="38" customHeight="1">
      <x:c r="A1" s="28" t="str">
        <x:v>Public fishery data package</x:v>
      </x:c>
      <x:c r="B1" s="28" t="str">
        <x:v>Review workbook for the GitHub reproduction repository</x:v>
      </x:c>
    </x:row>
    <x:row r="2" ht="42" customHeight="1">
      <x:c r="A2" s="8" t="str">
        <x:v>Retrieved</x:v>
      </x:c>
      <x:c r="B2" s="8" t="str">
        <x:v>2026-07-23</x:v>
      </x:c>
    </x:row>
    <x:row r="3" ht="42" customHeight="1">
      <x:c r="A3" s="8" t="str">
        <x:v>Data label</x:v>
      </x:c>
      <x:c r="B3" s="8" t="str">
        <x:v>经过处理的数据（公开来源） / processed data from public sources</x:v>
      </x:c>
    </x:row>
    <x:row r="4" ht="42" customHeight="1">
      <x:c r="A4" s="8" t="str">
        <x:v>World Bank / FAO</x:v>
      </x:c>
      <x:c r="B4" s="8" t="str">
        <x:v>Three China national production indicators, 2014-2023, CC BY 4.0</x:v>
      </x:c>
    </x:row>
    <x:row r="5" ht="42" customHeight="1">
      <x:c r="A5" s="8" t="str">
        <x:v>Ministry annual data</x:v>
      </x:c>
      <x:c r="B5" s="8" t="str">
        <x:v>Accessible official HTML communiqués for 2015, 2016 and 2019-2024</x:v>
      </x:c>
    </x:row>
    <x:row r="6" ht="42" customHeight="1">
      <x:c r="A6" s="8" t="str">
        <x:v>MOA 2024 detail</x:v>
      </x:c>
      <x:c r="B6" s="8" t="str">
        <x:v>99 records: economy, species/water-body production, area, fleet, population, processing, trade and disasters</x:v>
      </x:c>
    </x:row>
    <x:row r="7" ht="42" customHeight="1">
      <x:c r="A7" s="8" t="str">
        <x:v>Fishery environment</x:v>
      </x:c>
      <x:c r="B7" s="8" t="str">
        <x:v>12 records: monitoring network and reported exceedance-area change magnitudes</x:v>
      </x:c>
    </x:row>
    <x:row r="8" ht="42" customHeight="1">
      <x:c r="A8" s="8" t="str">
        <x:v>Latest official</x:v>
      </x:c>
      <x:c r="B8" s="8" t="str">
        <x:v>2025 national total/aquaculture/capture and Zhejiang total/marine/freshwater production</x:v>
      </x:c>
    </x:row>
    <x:row r="9" ht="42" customHeight="1">
      <x:c r="A9" s="8" t="str">
        <x:v>NBS 2024 provinces</x:v>
      </x:c>
      <x:c r="B9" s="8" t="str">
        <x:v>31 rows from six official yearbook tables: production, population, income, wastewater, freight and e-commerce</x:v>
      </x:c>
    </x:row>
    <x:row r="10" ht="42" customHeight="1">
      <x:c r="A10" s="8" t="str">
        <x:v>NBS evidence split</x:v>
      </x:c>
      <x:c r="B10" s="8" t="str">
        <x:v>Official observations are separate from all later processed/calibrated model fields</x:v>
      </x:c>
    </x:row>
    <x:row r="11" ht="42" customHeight="1">
      <x:c r="A11" s="8" t="str">
        <x:v>NBS national QC</x:v>
      </x:c>
      <x:c r="B11" s="8" t="str">
        <x:v>Printed national totals and documented scope/rounding differences used for reconciliation</x:v>
      </x:c>
    </x:row>
    <x:row r="12" ht="42" customHeight="1">
      <x:c r="A12" s="8" t="str">
        <x:v>Reported vs normalized</x:v>
      </x:c>
      <x:c r="B12" s="8" t="str">
        <x:v>Reported value/unit are retained; normalized value = reported value × normalization multiplier</x:v>
      </x:c>
    </x:row>
    <x:row r="13" ht="42" customHeight="1">
      <x:c r="A13" s="8" t="str">
        <x:v>Source integrity</x:v>
      </x:c>
      <x:c r="B13" s="8" t="str">
        <x:v>Detailed rows contain the SHA-256 of the official HTML used by the parser</x:v>
      </x:c>
    </x:row>
    <x:row r="14" ht="42" customHeight="1">
      <x:c r="A14" s="8" t="str">
        <x:v>Province-level data</x:v>
      </x:c>
      <x:c r="B14" s="8" t="str">
        <x:v>A0407 returned HTTP 403; direct official yearbook Table 12-15 was used instead</x:v>
      </x:c>
    </x:row>
    <x:row r="15" ht="42" customHeight="1">
      <x:c r="A15" s="32" t="str">
        <x:v>Important</x:v>
      </x:c>
      <x:c r="B15" s="32" t="str">
        <x:v>World Bank/FAO, Ministry and NBS totals can use different definitions; do not merge without checking scope</x:v>
      </x:c>
    </x:row>
    <x:row r="16" ht="42" customHeight="1">
      <x:c r="A16" s="8" t="str">
        <x:v>Missing values</x:v>
      </x:c>
      <x:c r="B16" s="8" t="str">
        <x:v>not_found means the field was not located in that official HTML page; no interpolation</x:v>
      </x:c>
    </x:row>
    <x:row r="17" ht="42" customHeight="1">
      <x:c r="A17" s="8" t="str">
        <x:v>Repository</x:v>
      </x:c>
      <x:c r="B17" s="8" t="str">
        <x:v>https://github.com/niqundaye/Frontiers-in-Marine-Science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62" hidden="0" customWidth="1"/>
    <x:col min="4" max="4" width="52" hidden="0" customWidth="1"/>
  </x:cols>
  <x:sheetData>
    <x:row r="1" ht="34" customHeight="1">
      <x:c r="A1" s="12" t="str">
        <x:v>Field</x:v>
      </x:c>
      <x:c r="B1" s="12" t="str">
        <x:v>Applies to</x:v>
      </x:c>
      <x:c r="C1" s="12" t="str">
        <x:v>Meaning</x:v>
      </x:c>
      <x:c r="D1" s="12" t="str">
        <x:v>Audit rule</x:v>
      </x:c>
    </x:row>
    <x:row r="2" ht="42" customHeight="1">
      <x:c r="A2" s="8" t="str">
        <x:v>year</x:v>
      </x:c>
      <x:c r="B2" s="8" t="str">
        <x:v>all data sheets</x:v>
      </x:c>
      <x:c r="C2" s="8" t="str">
        <x:v>Reference year of the statistic</x:v>
      </x:c>
      <x:c r="D2" s="8" t="str">
        <x:v>Integer year</x:v>
      </x:c>
    </x:row>
    <x:row r="3" ht="42" customHeight="1">
      <x:c r="A3" s="8" t="str">
        <x:v>section</x:v>
      </x:c>
      <x:c r="B3" s="8" t="str">
        <x:v>MOA 2024 Detail</x:v>
      </x:c>
      <x:c r="C3" s="8" t="str">
        <x:v>Communique topic group</x:v>
      </x:c>
      <x:c r="D3" s="8" t="str">
        <x:v>Machine-readable text</x:v>
      </x:c>
    </x:row>
    <x:row r="4" ht="42" customHeight="1">
      <x:c r="A4" s="8" t="str">
        <x:v>indicator</x:v>
      </x:c>
      <x:c r="B4" s="8" t="str">
        <x:v>detailed/latest sheets</x:v>
      </x:c>
      <x:c r="C4" s="8" t="str">
        <x:v>Stable machine-readable indicator name</x:v>
      </x:c>
      <x:c r="D4" s="8" t="str">
        <x:v>Do not translate in code</x:v>
      </x:c>
    </x:row>
    <x:row r="5" ht="42" customHeight="1">
      <x:c r="A5" s="8" t="str">
        <x:v>indicator_zh</x:v>
      </x:c>
      <x:c r="B5" s="8" t="str">
        <x:v>detailed/latest sheets</x:v>
      </x:c>
      <x:c r="C5" s="8" t="str">
        <x:v>Chinese label matching the official source concept</x:v>
      </x:c>
      <x:c r="D5" s="8" t="str">
        <x:v>Human-readable</x:v>
      </x:c>
    </x:row>
    <x:row r="6" ht="42" customHeight="1">
      <x:c r="A6" s="8" t="str">
        <x:v>category</x:v>
      </x:c>
      <x:c r="B6" s="8" t="str">
        <x:v>MOA 2024 Detail</x:v>
      </x:c>
      <x:c r="C6" s="8" t="str">
        <x:v>Total/marine/freshwater or operational subgroup</x:v>
      </x:c>
      <x:c r="D6" s="8" t="str">
        <x:v>Controls valid aggregation</x:v>
      </x:c>
    </x:row>
    <x:row r="7" ht="42" customHeight="1">
      <x:c r="A7" s="8" t="str">
        <x:v>reported_value</x:v>
      </x:c>
      <x:c r="B7" s="8" t="str">
        <x:v>detailed/latest sheets</x:v>
      </x:c>
      <x:c r="C7" s="8" t="str">
        <x:v>Numeric value as displayed on the official page</x:v>
      </x:c>
      <x:c r="D7" s="8" t="str">
        <x:v>Never overwrite</x:v>
      </x:c>
    </x:row>
    <x:row r="8" ht="42" customHeight="1">
      <x:c r="A8" s="8" t="str">
        <x:v>reported_unit</x:v>
      </x:c>
      <x:c r="B8" s="8" t="str">
        <x:v>detailed/latest sheets</x:v>
      </x:c>
      <x:c r="C8" s="8" t="str">
        <x:v>Unit as displayed on the official page</x:v>
      </x:c>
      <x:c r="D8" s="8" t="str">
        <x:v>Never overwrite</x:v>
      </x:c>
    </x:row>
    <x:row r="9" ht="42" customHeight="1">
      <x:c r="A9" s="8" t="str">
        <x:v>normalization_multiplier</x:v>
      </x:c>
      <x:c r="B9" s="8" t="str">
        <x:v>detailed/latest sheets</x:v>
      </x:c>
      <x:c r="C9" s="8" t="str">
        <x:v>Exact multiplier used for unit conversion</x:v>
      </x:c>
      <x:c r="D9" s="8" t="str">
        <x:v>value = reported_value × multiplier</x:v>
      </x:c>
    </x:row>
    <x:row r="10" ht="42" customHeight="1">
      <x:c r="A10" s="8" t="str">
        <x:v>value</x:v>
      </x:c>
      <x:c r="B10" s="8" t="str">
        <x:v>all data sheets</x:v>
      </x:c>
      <x:c r="C10" s="8" t="str">
        <x:v>Machine-readable normalized numeric value</x:v>
      </x:c>
      <x:c r="D10" s="8" t="str">
        <x:v>Typed number</x:v>
      </x:c>
    </x:row>
    <x:row r="11" ht="42" customHeight="1">
      <x:c r="A11" s="8" t="str">
        <x:v>unit</x:v>
      </x:c>
      <x:c r="B11" s="8" t="str">
        <x:v>all data sheets</x:v>
      </x:c>
      <x:c r="C11" s="8" t="str">
        <x:v>Normalized unit</x:v>
      </x:c>
      <x:c r="D11" s="8" t="str">
        <x:v>One unit per row</x:v>
      </x:c>
    </x:row>
    <x:row r="12" ht="42" customHeight="1">
      <x:c r="A12" s="8" t="str">
        <x:v>yoy_pct</x:v>
      </x:c>
      <x:c r="B12" s="8" t="str">
        <x:v>MOA detail/latest</x:v>
      </x:c>
      <x:c r="C12" s="8" t="str">
        <x:v>Signed year-on-year percent; declines are negative</x:v>
      </x:c>
      <x:c r="D12" s="8" t="str">
        <x:v>Blank if source does not report</x:v>
      </x:c>
    </x:row>
    <x:row r="13" ht="42" customHeight="1">
      <x:c r="A13" s="8" t="str">
        <x:v>share_pct</x:v>
      </x:c>
      <x:c r="B13" s="8" t="str">
        <x:v>MOA 2024 Detail</x:v>
      </x:c>
      <x:c r="C13" s="8" t="str">
        <x:v>Share reported in source table</x:v>
      </x:c>
      <x:c r="D13" s="8" t="str">
        <x:v>Blank unless explicitly reported</x:v>
      </x:c>
    </x:row>
    <x:row r="14" ht="42" customHeight="1">
      <x:c r="A14" s="8" t="str">
        <x:v>comparison_year</x:v>
      </x:c>
      <x:c r="B14" s="8" t="str">
        <x:v>Environment 2024</x:v>
      </x:c>
      <x:c r="C14" s="8" t="str">
        <x:v>Baseline year for a change indicator</x:v>
      </x:c>
      <x:c r="D14" s="8" t="str">
        <x:v>Do not treat changes as levels</x:v>
      </x:c>
    </x:row>
    <x:row r="15" ht="42" customHeight="1">
      <x:c r="A15" s="8" t="str">
        <x:v>change_direction</x:v>
      </x:c>
      <x:c r="B15" s="8" t="str">
        <x:v>Environment 2024</x:v>
      </x:c>
      <x:c r="C15" s="8" t="str">
        <x:v>level/increase/decrease classification</x:v>
      </x:c>
      <x:c r="D15" s="8" t="str">
        <x:v>Interpret with comparison_year</x:v>
      </x:c>
    </x:row>
    <x:row r="16" ht="42" customHeight="1">
      <x:c r="A16" s="8" t="str">
        <x:v>category_basis</x:v>
      </x:c>
      <x:c r="B16" s="8" t="str">
        <x:v>Latest Official</x:v>
      </x:c>
      <x:c r="C16" s="8" t="str">
        <x:v>Production method or water-body basis</x:v>
      </x:c>
      <x:c r="D16" s="8" t="str">
        <x:v>Do not combine unlike bases</x:v>
      </x:c>
    </x:row>
    <x:row r="17" ht="42" customHeight="1">
      <x:c r="A17" s="8" t="str">
        <x:v>source_url</x:v>
      </x:c>
      <x:c r="B17" s="8" t="str">
        <x:v>all data sheets</x:v>
      </x:c>
      <x:c r="C17" s="8" t="str">
        <x:v>Official page or API URL</x:v>
      </x:c>
      <x:c r="D17" s="8" t="str">
        <x:v>Plain-text auditable URL</x:v>
      </x:c>
    </x:row>
    <x:row r="18" ht="42" customHeight="1">
      <x:c r="A18" s="8" t="str">
        <x:v>source_sha256</x:v>
      </x:c>
      <x:c r="B18" s="8" t="str">
        <x:v>detailed/latest sheets</x:v>
      </x:c>
      <x:c r="C18" s="8" t="str">
        <x:v>SHA-256 of downloaded official HTML</x:v>
      </x:c>
      <x:c r="D18" s="8" t="str">
        <x:v>64 lowercase hexadecimal characters</x:v>
      </x:c>
    </x:row>
    <x:row r="19" ht="42" customHeight="1">
      <x:c r="A19" s="8" t="str">
        <x:v>data_label</x:v>
      </x:c>
      <x:c r="B19" s="8" t="str">
        <x:v>detailed/latest sheets</x:v>
      </x:c>
      <x:c r="C19" s="8" t="str">
        <x:v>经过处理的数据（公开来源）</x:v>
      </x:c>
      <x:c r="D19" s="8" t="str">
        <x:v>Never call author raw data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18" hidden="0" customWidth="1"/>
    <x:col min="4" max="4" width="16" hidden="0" customWidth="1"/>
    <x:col min="5" max="5" width="14" hidden="0" customWidth="1"/>
  </x:cols>
  <x:sheetData>
    <x:row r="1" ht="34" customHeight="1">
      <x:c r="A1" s="12" t="str">
        <x:v>Check</x:v>
      </x:c>
      <x:c r="B1" s="12" t="str">
        <x:v>Relationship</x:v>
      </x:c>
      <x:c r="C1" s="12" t="str">
        <x:v>Difference</x:v>
      </x:c>
      <x:c r="D1" s="12" t="str">
        <x:v>Tolerance</x:v>
      </x:c>
      <x:c r="E1" s="12" t="str">
        <x:v>Status</x:v>
      </x:c>
    </x:row>
    <x:row r="2" ht="42" customHeight="1">
      <x:c r="A2" s="8" t="str">
        <x:v>MOA detailed row count</x:v>
      </x:c>
      <x:c r="B2" s="8" t="str">
        <x:v>99 parsed records</x:v>
      </x:c>
      <x:c r="C2" s="24" t="n">
        <x:f>COUNTA('MOA 2024 Detail'!A2:A100)-99</x:f>
        <x:v>0</x:v>
      </x:c>
      <x:c r="D2" s="24" t="n">
        <x:v>0</x:v>
      </x:c>
      <x:c r="E2" s="8" t="str">
        <x:f>IF(ABS(C2)&lt;=D2,"PASS","FAIL")</x:f>
        <x:v>PASS</x:v>
      </x:c>
    </x:row>
    <x:row r="3" ht="42" customHeight="1">
      <x:c r="A3" s="8" t="str">
        <x:v>2024 economic output</x:v>
      </x:c>
      <x:c r="B3" s="8" t="str">
        <x:v>total - fishery - industry/construction - circulation/services</x:v>
      </x:c>
      <x:c r="C3" s="24" t="n">
        <x:f>'MOA 2024 Detail'!I61-'MOA 2024 Detail'!I55-'MOA 2024 Detail'!I54-'MOA 2024 Detail'!I53</x:f>
        <x:v>1.8189894035458565e-12</x:v>
      </x:c>
      <x:c r="D3" s="24" t="n">
        <x:v>0.000001</x:v>
      </x:c>
      <x:c r="E3" s="8" t="str">
        <x:f>IF(ABS(C3)&lt;=D3,"PASS","FAIL")</x:f>
        <x:v>PASS</x:v>
      </x:c>
    </x:row>
    <x:row r="4" ht="42" customHeight="1">
      <x:c r="A4" s="8" t="str">
        <x:v>2024 aquatic production</x:v>
      </x:c>
      <x:c r="B4" s="8" t="str">
        <x:v>total - aquaculture - capture</x:v>
      </x:c>
      <x:c r="C4" s="24" t="n">
        <x:f>'MOA 2024 Detail'!I100-'MOA 2024 Detail'!I94-'MOA 2024 Detail'!I96</x:f>
        <x:v>0</x:v>
      </x:c>
      <x:c r="D4" s="24" t="n">
        <x:v>0.000001</x:v>
      </x:c>
      <x:c r="E4" s="8" t="str">
        <x:f>IF(ABS(C4)&lt;=D4,"PASS","FAIL")</x:f>
        <x:v>PASS</x:v>
      </x:c>
    </x:row>
    <x:row r="5" ht="42" customHeight="1">
      <x:c r="A5" s="8" t="str">
        <x:v>2024 capture composition</x:v>
      </x:c>
      <x:c r="B5" s="8" t="str">
        <x:v>capture - domestic capture - distant-water capture</x:v>
      </x:c>
      <x:c r="C5" s="24" t="n">
        <x:f>'MOA 2024 Detail'!I96-'MOA 2024 Detail'!I35-'MOA 2024 Detail'!I97</x:f>
        <x:v>0</x:v>
      </x:c>
      <x:c r="D5" s="24" t="n">
        <x:v>0.000001</x:v>
      </x:c>
      <x:c r="E5" s="8" t="str">
        <x:f>IF(ABS(C5)&lt;=D5,"PASS","FAIL")</x:f>
        <x:v>PASS</x:v>
      </x:c>
    </x:row>
    <x:row r="6" ht="42" customHeight="1">
      <x:c r="A6" s="8" t="str">
        <x:v>2024 water-body composition</x:v>
      </x:c>
      <x:c r="B6" s="8" t="str">
        <x:v>total - marine - freshwater</x:v>
      </x:c>
      <x:c r="C6" s="24" t="n">
        <x:f>'MOA 2024 Detail'!I100-'MOA 2024 Detail'!I99-'MOA 2024 Detail'!I98</x:f>
        <x:v>0</x:v>
      </x:c>
      <x:c r="D6" s="24" t="n">
        <x:v>0.000001</x:v>
      </x:c>
      <x:c r="E6" s="8" t="str">
        <x:f>IF(ABS(C6)&lt;=D6,"PASS","FAIL")</x:f>
        <x:v>PASS</x:v>
      </x:c>
    </x:row>
    <x:row r="7" ht="42" customHeight="1">
      <x:c r="A7" s="8" t="str">
        <x:v>Motorized fleet tonnage</x:v>
      </x:c>
      <x:c r="B7" s="8" t="str">
        <x:v>motorized - production - auxiliary (rounding allowed)</x:v>
      </x:c>
      <x:c r="C7" s="24" t="n">
        <x:f>'MOA 2024 Detail'!I71-'MOA 2024 Detail'!I73-'MOA 2024 Detail'!I70</x:f>
        <x:v>-100</x:v>
      </x:c>
      <x:c r="D7" s="24" t="n">
        <x:v>100</x:v>
      </x:c>
      <x:c r="E7" s="8" t="str">
        <x:f>IF(ABS(C7)&lt;=D7,"PASS","FAIL")</x:f>
        <x:v>PASS</x:v>
      </x:c>
    </x:row>
    <x:row r="8" ht="42" customHeight="1">
      <x:c r="A8" s="8" t="str">
        <x:v>Processed products</x:v>
      </x:c>
      <x:c r="B8" s="8" t="str">
        <x:v>total - marine - freshwater (rounding allowed)</x:v>
      </x:c>
      <x:c r="C8" s="24" t="n">
        <x:f>'MOA 2024 Detail'!I82-'MOA 2024 Detail'!I81-'MOA 2024 Detail'!I80</x:f>
        <x:v>3.725290298461914e-9</x:v>
      </x:c>
      <x:c r="D8" s="24" t="n">
        <x:v>100</x:v>
      </x:c>
      <x:c r="E8" s="8" t="str">
        <x:f>IF(ABS(C8)&lt;=D8,"PASS","FAIL")</x:f>
        <x:v>PASS</x:v>
      </x:c>
    </x:row>
    <x:row r="9" ht="42" customHeight="1">
      <x:c r="A9" s="8" t="str">
        <x:v>2025 China production</x:v>
      </x:c>
      <x:c r="B9" s="8" t="str">
        <x:v>total - aquaculture - capture</x:v>
      </x:c>
      <x:c r="C9" s="24" t="n">
        <x:f>'Latest Official'!I2-'Latest Official'!I3-'Latest Official'!I4</x:f>
        <x:v>0</x:v>
      </x:c>
      <x:c r="D9" s="24" t="n">
        <x:v>0.000001</x:v>
      </x:c>
      <x:c r="E9" s="8" t="str">
        <x:f>IF(ABS(C9)&lt;=D9,"PASS","FAIL")</x:f>
        <x:v>PASS</x:v>
      </x:c>
    </x:row>
    <x:row r="10" ht="42" customHeight="1">
      <x:c r="A10" s="8" t="str">
        <x:v>2025 Zhejiang production</x:v>
      </x:c>
      <x:c r="B10" s="8" t="str">
        <x:v>total - marine - freshwater</x:v>
      </x:c>
      <x:c r="C10" s="24" t="n">
        <x:f>'Latest Official'!I5-'Latest Official'!I6-'Latest Official'!I7</x:f>
        <x:v>0</x:v>
      </x:c>
      <x:c r="D10" s="24" t="n">
        <x:v>0.000001</x:v>
      </x:c>
      <x:c r="E10" s="8" t="str">
        <x:f>IF(ABS(C10)&lt;=D10,"PASS","FAIL")</x:f>
        <x:v>PASS</x:v>
      </x:c>
    </x:row>
    <x:row r="11" ht="42" customHeight="1">
      <x:c r="A11" s="8" t="str">
        <x:v>NBS province rows</x:v>
      </x:c>
      <x:c r="B11" s="8" t="str">
        <x:v>31 official province-level rows</x:v>
      </x:c>
      <x:c r="C11" s="24" t="n">
        <x:f>COUNTA('NBS 2024 Provinces'!A2:A32)-31</x:f>
        <x:v>0</x:v>
      </x:c>
      <x:c r="D11" s="24" t="n">
        <x:v>0</x:v>
      </x:c>
      <x:c r="E11" s="8" t="str">
        <x:f>IF(ABS(C11)&lt;=D11,"PASS","FAIL")</x:f>
        <x:v>PASS</x:v>
      </x:c>
    </x:row>
    <x:row r="12" ht="42" customHeight="1">
      <x:c r="A12" s="8" t="str">
        <x:v>NBS 2024 aquatic total</x:v>
      </x:c>
      <x:c r="B12" s="8" t="str">
        <x:v>province sum - printed national value</x:v>
      </x:c>
      <x:c r="C12" s="24" t="n">
        <x:f>SUM('NBS 2024 Provinces'!E2:E32)-'NBS National QC'!B2</x:f>
        <x:v>0.09999999999763531</x:v>
      </x:c>
      <x:c r="D12" s="24" t="n">
        <x:v>0.31</x:v>
      </x:c>
      <x:c r="E12" s="8" t="str">
        <x:f>IF(ABS(C12)&lt;=D12,"PASS","FAIL")</x:f>
        <x:v>PASS</x:v>
      </x:c>
    </x:row>
    <x:row r="13" ht="42" customHeight="1">
      <x:c r="A13" s="8" t="str">
        <x:v>NBS 2024 freight scope</x:v>
      </x:c>
      <x:c r="B13" s="8" t="str">
        <x:v>province sum + not-classified amount - printed national value</x:v>
      </x:c>
      <x:c r="C13" s="24" t="n">
        <x:f>SUM('NBS 2024 Provinces'!P2:P32)+97072-'NBS National QC'!B13</x:f>
        <x:v>0</x:v>
      </x:c>
      <x:c r="D13" s="24" t="n">
        <x:v>0</x:v>
      </x:c>
      <x:c r="E13" s="8" t="str">
        <x:f>IF(ABS(C13)&lt;=D13,"PASS","FAIL")</x:f>
        <x:v>PASS</x:v>
      </x:c>
    </x:row>
    <x:row r="14" ht="42" customHeight="1">
      <x:c r="A14" s="8" t="str">
        <x:v>NBS 2024 e-commerce enterprises</x:v>
      </x:c>
      <x:c r="B14" s="8" t="str">
        <x:v>province sum - printed national value</x:v>
      </x:c>
      <x:c r="C14" s="24" t="n">
        <x:f>SUM('NBS 2024 Provinces'!R2:R32)-'NBS National QC'!B15</x:f>
        <x:v>0</x:v>
      </x:c>
      <x:c r="D14" s="24" t="n">
        <x:v>0</x:v>
      </x:c>
      <x:c r="E14" s="8" t="str">
        <x:f>IF(ABS(C14)&lt;=D14,"PASS","FAIL")</x:f>
        <x:v>PASS</x:v>
      </x:c>
    </x:row>
  </x:sheetData>
  <x:conditionalFormatting sqref="E2:E1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