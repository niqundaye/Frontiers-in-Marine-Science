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4bb245741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9b970e30044a82"/>
    <x:sheet xmlns:r="http://schemas.openxmlformats.org/officeDocument/2006/relationships" name="Official 2024 Raw" sheetId="2" r:id="R47f888228b364978"/>
    <x:sheet xmlns:r="http://schemas.openxmlformats.org/officeDocument/2006/relationships" name="Public Data QC" sheetId="3" r:id="R8acaa51df53f44e7"/>
    <x:sheet xmlns:r="http://schemas.openxmlformats.org/officeDocument/2006/relationships" name="Derivation Rules" sheetId="4" r:id="R774c50c5e9134d3f"/>
    <x:sheet xmlns:r="http://schemas.openxmlformats.org/officeDocument/2006/relationships" name="Province Inputs" sheetId="5" r:id="R8d4568e778cf47c2"/>
    <x:sheet xmlns:r="http://schemas.openxmlformats.org/officeDocument/2006/relationships" name="Coefficient Matrix" sheetId="6" r:id="R0783a5b66d244c93"/>
    <x:sheet xmlns:r="http://schemas.openxmlformats.org/officeDocument/2006/relationships" name="Sector-Mode Coeff" sheetId="7" r:id="Rd5431ce537624945"/>
    <x:sheet xmlns:r="http://schemas.openxmlformats.org/officeDocument/2006/relationships" name="National Constraints" sheetId="8" r:id="Rc1951e016e0647bb"/>
    <x:sheet xmlns:r="http://schemas.openxmlformats.org/officeDocument/2006/relationships" name="Variable Dictionary" sheetId="9" r:id="R82ba80de3a874c25"/>
    <x:sheet xmlns:r="http://schemas.openxmlformats.org/officeDocument/2006/relationships" name="Availability" sheetId="10" r:id="R5d51054d4bcb4f08"/>
    <x:sheet xmlns:r="http://schemas.openxmlformats.org/officeDocument/2006/relationships" name="Source Map" sheetId="11" r:id="R814482da509f4b50"/>
    <x:sheet xmlns:r="http://schemas.openxmlformats.org/officeDocument/2006/relationships" name="QC" sheetId="12" r:id="R025621597a5d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000"/>
  </x:numFmts>
  <x:fonts count="14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7F6000"/>
      <x:name val="Aptos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44546A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i/>
      <x:sz val="11"/>
      <x:color rgb="FF44546A"/>
      <x:name val="Aptos"/>
    </x:font>
    <x:font>
      <x:sz val="10"/>
      <x:color rgb="FF202124"/>
      <x:name val="Aptos"/>
    </x:font>
    <x:font>
      <x:b/>
      <x:sz val="10"/>
      <x:color rgb="FFFFFFFF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</x:fills>
  <x:borders count="10">
    <x:border/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9" xfId="0" applyNumberFormat="1" applyFont="1" applyFill="1" applyBorder="1"/>
    <x:xf numFmtId="0" fontId="0" fillId="0" borderId="9" xfId="0" applyNumberFormat="1" applyFont="1" applyFill="1" applyBorder="1"/>
    <x:xf numFmtId="0" fontId="4" fillId="0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2" borderId="9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3" fillId="2" borderId="0" xfId="0" applyNumberFormat="1" applyFont="1" applyFill="1" applyBorder="1"/>
    <x:xf numFmtId="202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45cdd85684e70" /><Relationship Type="http://schemas.openxmlformats.org/officeDocument/2006/relationships/theme" Target="/xl/theme/theme1.xml" Id="R002c3a96da384ca4" /><Relationship Type="http://schemas.openxmlformats.org/officeDocument/2006/relationships/sharedStrings" Target="/xl/sharedStrings.xml" Id="Rcbdcd3be034d4340" /><Relationship Type="http://schemas.openxmlformats.org/officeDocument/2006/relationships/worksheet" Target="/xl/worksheets/sheet1.xml" Id="R089b970e30044a82" /><Relationship Type="http://schemas.openxmlformats.org/officeDocument/2006/relationships/worksheet" Target="/xl/worksheets/sheet2.xml" Id="R47f888228b364978" /><Relationship Type="http://schemas.openxmlformats.org/officeDocument/2006/relationships/worksheet" Target="/xl/worksheets/sheet3.xml" Id="R8acaa51df53f44e7" /><Relationship Type="http://schemas.openxmlformats.org/officeDocument/2006/relationships/worksheet" Target="/xl/worksheets/sheet4.xml" Id="R774c50c5e9134d3f" /><Relationship Type="http://schemas.openxmlformats.org/officeDocument/2006/relationships/worksheet" Target="/xl/worksheets/sheet5.xml" Id="R8d4568e778cf47c2" /><Relationship Type="http://schemas.openxmlformats.org/officeDocument/2006/relationships/worksheet" Target="/xl/worksheets/sheet6.xml" Id="R0783a5b66d244c93" /><Relationship Type="http://schemas.openxmlformats.org/officeDocument/2006/relationships/worksheet" Target="/xl/worksheets/sheet7.xml" Id="Rd5431ce537624945" /><Relationship Type="http://schemas.openxmlformats.org/officeDocument/2006/relationships/worksheet" Target="/xl/worksheets/sheet8.xml" Id="Rc1951e016e0647bb" /><Relationship Type="http://schemas.openxmlformats.org/officeDocument/2006/relationships/worksheet" Target="/xl/worksheets/sheet9.xml" Id="R82ba80de3a874c25" /><Relationship Type="http://schemas.openxmlformats.org/officeDocument/2006/relationships/worksheet" Target="/xl/worksheets/sheet10.xml" Id="R5d51054d4bcb4f08" /><Relationship Type="http://schemas.openxmlformats.org/officeDocument/2006/relationships/worksheet" Target="/xl/worksheets/sheet11.xml" Id="R814482da509f4b50" /><Relationship Type="http://schemas.openxmlformats.org/officeDocument/2006/relationships/worksheet" Target="/xl/worksheets/sheet12.xml" Id="R025621597a5d44bb" /></Relationships>
</file>

<file path=xl/tables/table1.xml><?xml version="1.0" encoding="utf-8"?>
<x:table xmlns:x="http://schemas.openxmlformats.org/spreadsheetml/2006/main" id="1" name="Official2024RawTable" displayName="Official2024RawTable" ref="A1:V32" headerRowCount="1" totalsRowCount="0" totalsRowShown="0">
  <x:tableColumns count="22">
    <x:tableColumn id="1" name="province_code"/>
    <x:tableColumn id="2" name="province_en"/>
    <x:tableColumn id="3" name="province_zh"/>
    <x:tableColumn id="4" name="year"/>
    <x:tableColumn id="5" name="aquatic_total_10000_t"/>
    <x:tableColumn id="6" name="marine_total_10000_t"/>
    <x:tableColumn id="7" name="marine_capture_10000_t"/>
    <x:tableColumn id="8" name="marine_aquaculture_10000_t"/>
    <x:tableColumn id="9" name="freshwater_total_10000_t"/>
    <x:tableColumn id="10" name="freshwater_capture_10000_t"/>
    <x:tableColumn id="11" name="freshwater_aquaculture_10000_t"/>
    <x:tableColumn id="12" name="population_10000_persons"/>
    <x:tableColumn id="13" name="disposable_income_yuan"/>
    <x:tableColumn id="14" name="wastewater_cod_tonnes"/>
    <x:tableColumn id="15" name="wastewater_total_phosphorus_tonnes"/>
    <x:tableColumn id="16" name="freight_total_10000_tonnes"/>
    <x:tableColumn id="17" name="enterprises_units"/>
    <x:tableColumn id="18" name="ecommerce_enterprises_units"/>
    <x:tableColumn id="19" name="ecommerce_sales_100m_yuan"/>
    <x:tableColumn id="20" name="source_tables"/>
    <x:tableColumn id="21" name="data_status"/>
    <x:tableColumn id="22" name="transcript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DataQCTable" displayName="PublicDataQCTable" ref="A1:G15" headerRowCount="1" totalsRowCount="0" totalsRowShown="0">
  <x:tableColumns count="7">
    <x:tableColumn id="1" name="metric"/>
    <x:tableColumn id="2" name="province_sum"/>
    <x:tableColumn id="3" name="national_printed_value"/>
    <x:tableColumn id="4" name="difference"/>
    <x:tableColumn id="5" name="allowed_absolute_difference"/>
    <x:tableColumn id="6" name="result"/>
    <x:tableColumn id="7" name="difference_explan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rivationRulesTable" displayName="DerivationRulesTable" ref="A1:F10" headerRowCount="1" totalsRowCount="0" totalsRowShown="0">
  <x:tableColumns count="6">
    <x:tableColumn id="1" name="step"/>
    <x:tableColumn id="2" name="output"/>
    <x:tableColumn id="3" name="formula"/>
    <x:tableColumn id="4" name="inputs"/>
    <x:tableColumn id="5" name="evidence_class"/>
    <x:tableColumn id="6" name="limi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vinceInputsTable" displayName="ProvinceInputsTable" ref="A1:AF32" headerRowCount="1" totalsRowCount="0" totalsRowShown="0">
  <x:tableColumns count="32">
    <x:tableColumn id="1" name="region_id"/>
    <x:tableColumn id="2" name="province_code"/>
    <x:tableColumn id="3" name="province_en"/>
    <x:tableColumn id="4" name="province_zh"/>
    <x:tableColumn id="5" name="year"/>
    <x:tableColumn id="6" name="aquatic_total_official_10000_t"/>
    <x:tableColumn id="7" name="marine_capture_official_10000_t"/>
    <x:tableColumn id="8" name="freshwater_capture_official_10000_t"/>
    <x:tableColumn id="9" name="marine_aquaculture_official_10000_t"/>
    <x:tableColumn id="10" name="freshwater_aquaculture_official_10000_t"/>
    <x:tableColumn id="11" name="population_official_10000_persons"/>
    <x:tableColumn id="12" name="disposable_income_official_yuan"/>
    <x:tableColumn id="13" name="wastewater_cod_official_tonnes"/>
    <x:tableColumn id="14" name="wastewater_phosphorus_official_tonnes"/>
    <x:tableColumn id="15" name="freight_official_10000_tonnes"/>
    <x:tableColumn id="16" name="enterprises_official_units"/>
    <x:tableColumn id="17" name="ecommerce_enterprises_official_units"/>
    <x:tableColumn id="18" name="ecommerce_sales_official_100m_yuan"/>
    <x:tableColumn id="19" name="ecommerce_adoption_rate_processed"/>
    <x:tableColumn id="20" name="region_share_processed"/>
    <x:tableColumn id="21" name="paper_2023_calibration_factor"/>
    <x:tableColumn id="22" name="digital_index_processed"/>
    <x:tableColumn id="23" name="income_multiplier_processed"/>
    <x:tableColumn id="24" name="social_need_multiplier_processed"/>
    <x:tableColumn id="25" name="ecological_pressure_index_processed"/>
    <x:tableColumn id="26" name="freight_index_processed"/>
    <x:tableColumn id="27" name="workforce_processed_people"/>
    <x:tableColumn id="28" name="cold_capacity_processed_tonnes"/>
    <x:tableColumn id="29" name="power_capacity_processed_kw"/>
    <x:tableColumn id="30" name="mapping_note"/>
    <x:tableColumn id="31" name="official_data_status"/>
    <x:tableColumn id="32" name="derived_data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efficientMatrixTable" displayName="CoefficientMatrixTable" ref="A1:AH249" headerRowCount="1" totalsRowCount="0" totalsRowShown="0">
  <x:tableColumns count="34">
    <x:tableColumn id="1" name="variable_id"/>
    <x:tableColumn id="2" name="region_id"/>
    <x:tableColumn id="3" name="province_code"/>
    <x:tableColumn id="4" name="province_en"/>
    <x:tableColumn id="5" name="province_zh"/>
    <x:tableColumn id="6" name="sector_id"/>
    <x:tableColumn id="7" name="sector_en"/>
    <x:tableColumn id="8" name="sector_zh"/>
    <x:tableColumn id="9" name="mode_id"/>
    <x:tableColumn id="10" name="mode_en"/>
    <x:tableColumn id="11" name="mode_zh"/>
    <x:tableColumn id="12" name="official_2024_sector_tonnes"/>
    <x:tableColumn id="13" name="paper_calibrated_sector_tonnes"/>
    <x:tableColumn id="14" name="assumed_mode_share"/>
    <x:tableColumn id="15" name="baseline_sector_mode_processed_tonnes"/>
    <x:tableColumn id="16" name="upper_bound_processed_tonnes"/>
    <x:tableColumn id="17" name="region_share_processed"/>
    <x:tableColumn id="18" name="digital_index_processed"/>
    <x:tableColumn id="19" name="income_multiplier_processed"/>
    <x:tableColumn id="20" name="social_need_multiplier_processed"/>
    <x:tableColumn id="21" name="ecological_pressure_index_processed"/>
    <x:tableColumn id="22" name="ecological_quality_multiplier_processed"/>
    <x:tableColumn id="23" name="freight_index_processed"/>
    <x:tableColumn id="24" name="logistics_cost_multiplier_processed"/>
    <x:tableColumn id="25" name="workforce_processed_people"/>
    <x:tableColumn id="26" name="cold_capacity_processed_tonnes"/>
    <x:tableColumn id="27" name="power_capacity_processed_kw"/>
    <x:tableColumn id="28" name="income_coefficient_proxy"/>
    <x:tableColumn id="29" name="marginal_value_coefficient_proxy"/>
    <x:tableColumn id="30" name="supply_chain_cost_coefficient_proxy"/>
    <x:tableColumn id="31" name="ecological_weight_proxy"/>
    <x:tableColumn id="32" name="fleet_power_coefficient_proxy"/>
    <x:tableColumn id="33" name="official_source"/>
    <x:tableColumn id="34" name="data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ctorModeCoeffTable" displayName="SectorModeCoeffTable" ref="A1:M9" headerRowCount="1" totalsRowCount="0" totalsRowShown="0">
  <x:tableColumns count="13">
    <x:tableColumn id="1" name="sector_id"/>
    <x:tableColumn id="2" name="sector_en"/>
    <x:tableColumn id="3" name="sector_zh"/>
    <x:tableColumn id="4" name="mode_id"/>
    <x:tableColumn id="5" name="mode_en"/>
    <x:tableColumn id="6" name="mode_zh"/>
    <x:tableColumn id="7" name="assumed_mode_share"/>
    <x:tableColumn id="8" name="income_coefficient_proxy"/>
    <x:tableColumn id="9" name="marginal_value_coefficient_proxy"/>
    <x:tableColumn id="10" name="supply_chain_cost_coefficient_proxy"/>
    <x:tableColumn id="11" name="ecological_weight_proxy"/>
    <x:tableColumn id="12" name="fleet_power_coefficient_proxy"/>
    <x:tableColumn id="13" name="data_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ationalConstraintsTable" displayName="NationalConstraintsTable" ref="A1:F13" headerRowCount="1" totalsRowCount="0" totalsRowShown="0">
  <x:tableColumns count="6">
    <x:tableColumn id="1" name="parameter"/>
    <x:tableColumn id="2" name="value"/>
    <x:tableColumn id="3" name="unit"/>
    <x:tableColumn id="4" name="role"/>
    <x:tableColumn id="5" name="source"/>
    <x:tableColumn id="6" name="data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ariableDictionaryTable" displayName="VariableDictionaryTable" ref="A1:E20" headerRowCount="1" totalsRowCount="0" totalsRowShown="0">
  <x:tableColumns count="5">
    <x:tableColumn id="1" name="field"/>
    <x:tableColumn id="2" name="meaning"/>
    <x:tableColumn id="3" name="unit"/>
    <x:tableColumn id="4" name="original_available"/>
    <x:tableColumn id="5" name="constru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vailabilityTable" displayName="AvailabilityTable" ref="A1:F19" headerRowCount="1" totalsRowCount="0" totalsRowShown="0">
  <x:tableColumns count="6">
    <x:tableColumn id="1" name="request_item"/>
    <x:tableColumn id="2" name="expected_material_or_variable"/>
    <x:tableColumn id="3" name="status"/>
    <x:tableColumn id="4" name="reason"/>
    <x:tableColumn id="5" name="current_replacement"/>
    <x:tableColumn id="6" name="may_be_described_as_origina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MapTable" displayName="SourceMapTable" ref="A1:J24" headerRowCount="1" totalsRowCount="0" totalsRowShown="0">
  <x:tableColumns count="10">
    <x:tableColumn id="1" name="source_id"/>
    <x:tableColumn id="2" name="publisher"/>
    <x:tableColumn id="3" name="dataset"/>
    <x:tableColumn id="4" name="coverage"/>
    <x:tableColumn id="5" name="url"/>
    <x:tableColumn id="6" name="access"/>
    <x:tableColumn id="7" name="license_or_terms"/>
    <x:tableColumn id="8" name="repository_file"/>
    <x:tableColumn id="9" name="retrieved_on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bf546fd4b049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aa926501c848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5effba179d40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b20d7445864b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c6122cb6d448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ddc5a415a941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73277b3a8649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23a75c4fe544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10e6915669943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7a1613cde8b4c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42" t="str">
        <x:v>31-Province Input Matrix: Evidence and Reconstruction Workbook</x:v>
      </x:c>
      <x:c r="B1" s="42"/>
      <x:c r="C1" s="42"/>
      <x:c r="D1" s="42"/>
      <x:c r="E1" s="42"/>
      <x:c r="F1" s="42"/>
    </x:row>
    <x:row r="2">
      <x:c r="A2" s="43"/>
      <x:c r="B2" s="43"/>
      <x:c r="C2" s="43"/>
      <x:c r="D2" s="43"/>
      <x:c r="E2" s="43"/>
      <x:c r="F2" s="43"/>
    </x:row>
    <x:row r="3" ht="30" customHeight="1">
      <x:c r="A3" s="23" t="str">
        <x:v>ESSENTIAL DISCLOSURE
This workbook is a calibrated, deterministic replacement constructed from the public surrogate model and retained article/public data. It is not the original 31-province workbook used for the reported results. The historical matrix, original row order, EWM inputs/weights, province TACs and original preprocessing files were not present in the retained archive.</x:v>
      </x:c>
      <x:c r="B3" s="24"/>
      <x:c r="C3" s="24"/>
      <x:c r="D3" s="24"/>
      <x:c r="E3" s="24"/>
      <x:c r="F3" s="25"/>
    </x:row>
    <x:row r="4" ht="30" customHeight="1">
      <x:c r="A4" s="26"/>
      <x:c r="B4" s="27"/>
      <x:c r="C4" s="27"/>
      <x:c r="D4" s="27"/>
      <x:c r="E4" s="27"/>
      <x:c r="F4" s="28"/>
    </x:row>
    <x:row r="5" ht="30" customHeight="1">
      <x:c r="A5" s="29"/>
      <x:c r="B5" s="30"/>
      <x:c r="C5" s="30"/>
      <x:c r="D5" s="30"/>
      <x:c r="E5" s="30"/>
      <x:c r="F5" s="31"/>
    </x:row>
    <x:row r="6">
      <x:c r="A6" s="43"/>
      <x:c r="B6" s="43"/>
      <x:c r="C6" s="43"/>
      <x:c r="D6" s="43"/>
      <x:c r="E6" s="43"/>
      <x:c r="F6" s="43"/>
    </x:row>
    <x:row r="7">
      <x:c r="A7" s="44" t="str">
        <x:v>Field</x:v>
      </x:c>
      <x:c r="B7" s="44" t="str">
        <x:v>Value</x:v>
      </x:c>
      <x:c r="C7" s="43"/>
      <x:c r="D7" s="43"/>
      <x:c r="E7" s="43"/>
      <x:c r="F7" s="43"/>
    </x:row>
    <x:row r="8">
      <x:c r="A8" s="45" t="str">
        <x:v>Prepared on</x:v>
      </x:c>
      <x:c r="B8" s="46" t="str">
        <x:v>2026-09-11</x:v>
      </x:c>
      <x:c r="C8" s="43"/>
      <x:c r="D8" s="43"/>
      <x:c r="E8" s="43"/>
      <x:c r="F8" s="43"/>
    </x:row>
    <x:row r="9">
      <x:c r="A9" s="45" t="str">
        <x:v>Paper DOI</x:v>
      </x:c>
      <x:c r="B9" s="46" t="str">
        <x:v>10.3389/fmars.2026.1809036</x:v>
      </x:c>
      <x:c r="C9" s="43"/>
      <x:c r="D9" s="43"/>
      <x:c r="E9" s="43"/>
      <x:c r="F9" s="43"/>
    </x:row>
    <x:row r="10">
      <x:c r="A10" s="45" t="str">
        <x:v>Data status</x:v>
      </x:c>
      <x:c r="B10" s="46" t="str">
        <x:v>Replacement evidence only; no historical original matrix or run log is represented as recovered.</x:v>
      </x:c>
      <x:c r="C10" s="43"/>
      <x:c r="D10" s="43"/>
      <x:c r="E10" s="43"/>
      <x:c r="F10" s="43"/>
    </x:row>
    <x:row r="11">
      <x:c r="A11" s="45" t="str">
        <x:v>Province mapping</x:v>
      </x:c>
      <x:c r="B11" s="46" t="str">
        <x:v>NBS standard 31-province order assigned for reconstruction; original r-index order unavailable</x:v>
      </x:c>
      <x:c r="C11" s="43"/>
      <x:c r="D11" s="43"/>
      <x:c r="E11" s="43"/>
      <x:c r="F11" s="43"/>
    </x:row>
    <x:row r="12">
      <x:c r="A12" s="45" t="str">
        <x:v>Decision dimensions</x:v>
      </x:c>
      <x:c r="B12" s="46" t="str">
        <x:v>31 regions x 4 sectors x 2 modes = 248 variables</x:v>
      </x:c>
      <x:c r="C12" s="43"/>
      <x:c r="D12" s="43"/>
      <x:c r="E12" s="43"/>
      <x:c r="F12" s="43"/>
    </x:row>
    <x:row r="13">
      <x:c r="A13" s="45" t="str">
        <x:v>Official public layer</x:v>
      </x:c>
      <x:c r="B13" s="46" t="str">
        <x:v>Six official NBS China Statistical Yearbook 2025 tables were transcribed for all 31 province-level regions; production is observed public data and model-specific coefficients remain processed/calibrated.</x:v>
      </x:c>
      <x:c r="C13" s="43"/>
      <x:c r="D13" s="43"/>
      <x:c r="E13" s="43"/>
      <x:c r="F13" s="43"/>
    </x:row>
    <x:row r="14">
      <x:c r="A14" s="45" t="str">
        <x:v>Primary code</x:v>
      </x:c>
      <x:c r="B14" s="46" t="str">
        <x:v>src/fishery_repro/model.py and scripts/build_editor_response_data.py</x:v>
      </x:c>
      <x:c r="C14" s="43"/>
      <x:c r="D14" s="43"/>
      <x:c r="E14" s="43"/>
      <x:c r="F14" s="43"/>
    </x:row>
    <x:row r="15">
      <x:c r="A15" s="43"/>
      <x:c r="B15" s="43"/>
      <x:c r="C15" s="43"/>
      <x:c r="D15" s="43"/>
      <x:c r="E15" s="43"/>
      <x:c r="F15" s="43"/>
    </x:row>
    <x:row r="16">
      <x:c r="A16" s="47" t="str">
        <x:v>Interpretation: official_2024 fields are direct NBS transcriptions. Fields ending in _processed or _proxy are transformations or assumptions. Neither class is a recovered historical author input.</x:v>
      </x:c>
      <x:c r="B16" s="47"/>
      <x:c r="C16" s="47"/>
      <x:c r="D16" s="47"/>
      <x:c r="E16" s="47"/>
      <x:c r="F16" s="47"/>
    </x:row>
    <x:row r="17">
      <x:c r="A17" s="43"/>
      <x:c r="B17" s="43"/>
      <x:c r="C17" s="43"/>
      <x:c r="D17" s="43"/>
      <x:c r="E17" s="43"/>
      <x:c r="F17" s="43"/>
    </x:row>
    <x:row r="18">
      <x:c r="A18" s="43"/>
      <x:c r="B18" s="43"/>
      <x:c r="C18" s="43"/>
      <x:c r="D18" s="43"/>
      <x:c r="E18" s="43"/>
      <x:c r="F18" s="43"/>
    </x:row>
    <x:row r="19">
      <x:c r="A19" s="43"/>
      <x:c r="B19" s="43"/>
      <x:c r="C19" s="43"/>
      <x:c r="D19" s="43"/>
      <x:c r="E19" s="43"/>
      <x:c r="F19" s="43"/>
    </x:row>
    <x:row r="20">
      <x:c r="A20" s="43"/>
      <x:c r="B20" s="43"/>
      <x:c r="C20" s="43"/>
      <x:c r="D20" s="43"/>
      <x:c r="E20" s="43"/>
      <x:c r="F20" s="43"/>
    </x:row>
  </x:sheetData>
  <x:mergeCells>
    <x:mergeCell ref="A1:F1"/>
    <x:mergeCell ref="A3:F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24" hidden="0" customWidth="1"/>
    <x:col min="16" max="16" width="22" hidden="0" customWidth="1"/>
    <x:col min="17" max="17" width="18" hidden="0" customWidth="1"/>
    <x:col min="18" max="18" width="24" hidden="0" customWidth="1"/>
    <x:col min="19" max="19" width="22" hidden="0" customWidth="1"/>
    <x:col min="20" max="20" width="44" hidden="0" customWidth="1"/>
    <x:col min="21" max="21" width="38" hidden="0" customWidth="1"/>
    <x:col min="22" max="22" width="52" hidden="0" customWidth="1"/>
  </x:cols>
  <x:sheetData>
    <x:row r="1" ht="42" hidden="0" customHeight="1">
      <x:c r="A1" s="52" t="str">
        <x:v>province_code</x:v>
      </x:c>
      <x:c r="B1" s="52" t="str">
        <x:v>province_en</x:v>
      </x:c>
      <x:c r="C1" s="52" t="str">
        <x:v>province_zh</x:v>
      </x:c>
      <x:c r="D1" s="52" t="str">
        <x:v>year</x:v>
      </x:c>
      <x:c r="E1" s="52" t="str">
        <x:v>aquatic_total_10000_t</x:v>
      </x:c>
      <x:c r="F1" s="52" t="str">
        <x:v>marine_total_10000_t</x:v>
      </x:c>
      <x:c r="G1" s="52" t="str">
        <x:v>marine_capture_10000_t</x:v>
      </x:c>
      <x:c r="H1" s="52" t="str">
        <x:v>marine_aquaculture_10000_t</x:v>
      </x:c>
      <x:c r="I1" s="52" t="str">
        <x:v>freshwater_total_10000_t</x:v>
      </x:c>
      <x:c r="J1" s="52" t="str">
        <x:v>freshwater_capture_10000_t</x:v>
      </x:c>
      <x:c r="K1" s="52" t="str">
        <x:v>freshwater_aquaculture_10000_t</x:v>
      </x:c>
      <x:c r="L1" s="52" t="str">
        <x:v>population_10000_persons</x:v>
      </x:c>
      <x:c r="M1" s="52" t="str">
        <x:v>disposable_income_yuan</x:v>
      </x:c>
      <x:c r="N1" s="52" t="str">
        <x:v>wastewater_cod_tonnes</x:v>
      </x:c>
      <x:c r="O1" s="52" t="str">
        <x:v>wastewater_total_phosphorus_tonnes</x:v>
      </x:c>
      <x:c r="P1" s="52" t="str">
        <x:v>freight_total_10000_tonnes</x:v>
      </x:c>
      <x:c r="Q1" s="52" t="str">
        <x:v>enterprises_units</x:v>
      </x:c>
      <x:c r="R1" s="52" t="str">
        <x:v>ecommerce_enterprises_units</x:v>
      </x:c>
      <x:c r="S1" s="52" t="str">
        <x:v>ecommerce_sales_100m_yuan</x:v>
      </x:c>
      <x:c r="T1" s="52" t="str">
        <x:v>source_tables</x:v>
      </x:c>
      <x:c r="U1" s="52" t="str">
        <x:v>data_status</x:v>
      </x:c>
      <x:c r="V1" s="52" t="str">
        <x:v>transcription_note</x:v>
      </x:c>
    </x:row>
    <x:row r="2" ht="34" hidden="0" customHeight="1">
      <x:c r="A2" s="48" t="str">
        <x:v>CN-BJ</x:v>
      </x:c>
      <x:c r="B2" s="48" t="str">
        <x:v>Beijing</x:v>
      </x:c>
      <x:c r="C2" s="48" t="str">
        <x:v>北京</x:v>
      </x:c>
      <x:c r="D2" s="48" t="n">
        <x:v>2024</x:v>
      </x:c>
      <x:c r="E2" s="48" t="n">
        <x:v>7.1</x:v>
      </x:c>
      <x:c r="F2" s="48" t="n">
        <x:v>5.7</x:v>
      </x:c>
      <x:c r="G2" s="48" t="n">
        <x:v>5.7</x:v>
      </x:c>
      <x:c r="H2" s="48" t="n">
        <x:v>0</x:v>
      </x:c>
      <x:c r="I2" s="48" t="n">
        <x:v>1.4</x:v>
      </x:c>
      <x:c r="J2" s="48" t="n">
        <x:v>0.2</x:v>
      </x:c>
      <x:c r="K2" s="48" t="n">
        <x:v>1.2</x:v>
      </x:c>
      <x:c r="L2" s="54" t="n">
        <x:v>2183</x:v>
      </x:c>
      <x:c r="M2" s="54" t="n">
        <x:v>85415</x:v>
      </x:c>
      <x:c r="N2" s="54" t="n">
        <x:v>114599</x:v>
      </x:c>
      <x:c r="O2" s="54" t="n">
        <x:v>1185</x:v>
      </x:c>
      <x:c r="P2" s="54" t="n">
        <x:v>19956</x:v>
      </x:c>
      <x:c r="Q2" s="54" t="n">
        <x:v>49504</x:v>
      </x:c>
      <x:c r="R2" s="54" t="n">
        <x:v>11528</x:v>
      </x:c>
      <x:c r="S2" s="48" t="n">
        <x:v>46980.2</x:v>
      </x:c>
      <x:c r="T2" s="53" t="str">
        <x:v>NBS 2025 Tables 2-5; 6-18; 8-10; 12-15; 16-13; 16-39</x:v>
      </x:c>
      <x:c r="U2" s="53" t="str">
        <x:v>official public data; manually transcribed and double-checked</x:v>
      </x:c>
      <x:c r="V2" s="53" t="str">
        <x:v>Values retain the units printed by NBS; component totals can differ by 0.1 because the source is rounded to one decimal place.</x:v>
      </x:c>
    </x:row>
    <x:row r="3" ht="34" hidden="0" customHeight="1">
      <x:c r="A3" s="48" t="str">
        <x:v>CN-TJ</x:v>
      </x:c>
      <x:c r="B3" s="48" t="str">
        <x:v>Tianjin</x:v>
      </x:c>
      <x:c r="C3" s="48" t="str">
        <x:v>天津</x:v>
      </x:c>
      <x:c r="D3" s="48" t="n">
        <x:v>2024</x:v>
      </x:c>
      <x:c r="E3" s="48" t="n">
        <x:v>29.9</x:v>
      </x:c>
      <x:c r="F3" s="48" t="n">
        <x:v>4.5</x:v>
      </x:c>
      <x:c r="G3" s="48" t="n">
        <x:v>3.3</x:v>
      </x:c>
      <x:c r="H3" s="48" t="n">
        <x:v>1.2</x:v>
      </x:c>
      <x:c r="I3" s="48" t="n">
        <x:v>25.4</x:v>
      </x:c>
      <x:c r="J3" s="48" t="n">
        <x:v>0.3</x:v>
      </x:c>
      <x:c r="K3" s="48" t="n">
        <x:v>25.1</x:v>
      </x:c>
      <x:c r="L3" s="54" t="n">
        <x:v>1364</x:v>
      </x:c>
      <x:c r="M3" s="54" t="n">
        <x:v>53581</x:v>
      </x:c>
      <x:c r="N3" s="54" t="n">
        <x:v>189195</x:v>
      </x:c>
      <x:c r="O3" s="54" t="n">
        <x:v>2054</x:v>
      </x:c>
      <x:c r="P3" s="54" t="n">
        <x:v>58602</x:v>
      </x:c>
      <x:c r="Q3" s="54" t="n">
        <x:v>29626</x:v>
      </x:c>
      <x:c r="R3" s="54" t="n">
        <x:v>2619</x:v>
      </x:c>
      <x:c r="S3" s="48" t="n">
        <x:v>8126.2</x:v>
      </x:c>
      <x:c r="T3" s="53" t="str">
        <x:v>NBS 2025 Tables 2-5; 6-18; 8-10; 12-15; 16-13; 16-39</x:v>
      </x:c>
      <x:c r="U3" s="53" t="str">
        <x:v>official public data; manually transcribed and double-checked</x:v>
      </x:c>
      <x:c r="V3" s="53" t="str">
        <x:v>Values retain the units printed by NBS; component totals can differ by 0.1 because the source is rounded to one decimal place.</x:v>
      </x:c>
    </x:row>
    <x:row r="4" ht="34" hidden="0" customHeight="1">
      <x:c r="A4" s="48" t="str">
        <x:v>CN-HE</x:v>
      </x:c>
      <x:c r="B4" s="48" t="str">
        <x:v>Hebei</x:v>
      </x:c>
      <x:c r="C4" s="48" t="str">
        <x:v>河北</x:v>
      </x:c>
      <x:c r="D4" s="48" t="n">
        <x:v>2024</x:v>
      </x:c>
      <x:c r="E4" s="48" t="n">
        <x:v>118</x:v>
      </x:c>
      <x:c r="F4" s="48" t="n">
        <x:v>85.4</x:v>
      </x:c>
      <x:c r="G4" s="48" t="n">
        <x:v>22.1</x:v>
      </x:c>
      <x:c r="H4" s="48" t="n">
        <x:v>63.3</x:v>
      </x:c>
      <x:c r="I4" s="48" t="n">
        <x:v>32.6</x:v>
      </x:c>
      <x:c r="J4" s="48" t="n">
        <x:v>4.5</x:v>
      </x:c>
      <x:c r="K4" s="48" t="n">
        <x:v>28.1</x:v>
      </x:c>
      <x:c r="L4" s="54" t="n">
        <x:v>7378</x:v>
      </x:c>
      <x:c r="M4" s="54" t="n">
        <x:v>34665</x:v>
      </x:c>
      <x:c r="N4" s="54" t="n">
        <x:v>1536069</x:v>
      </x:c>
      <x:c r="O4" s="54" t="n">
        <x:v>16123</x:v>
      </x:c>
      <x:c r="P4" s="54" t="n">
        <x:v>270712</x:v>
      </x:c>
      <x:c r="Q4" s="54" t="n">
        <x:v>43022</x:v>
      </x:c>
      <x:c r="R4" s="54" t="n">
        <x:v>3671</x:v>
      </x:c>
      <x:c r="S4" s="48" t="n">
        <x:v>4056.8</x:v>
      </x:c>
      <x:c r="T4" s="53" t="str">
        <x:v>NBS 2025 Tables 2-5; 6-18; 8-10; 12-15; 16-13; 16-39</x:v>
      </x:c>
      <x:c r="U4" s="53" t="str">
        <x:v>official public data; manually transcribed and double-checked</x:v>
      </x:c>
      <x:c r="V4" s="53" t="str">
        <x:v>Values retain the units printed by NBS; component totals can differ by 0.1 because the source is rounded to one decimal place.</x:v>
      </x:c>
    </x:row>
    <x:row r="5" ht="34" hidden="0" customHeight="1">
      <x:c r="A5" s="48" t="str">
        <x:v>CN-SX</x:v>
      </x:c>
      <x:c r="B5" s="48" t="str">
        <x:v>Shanxi</x:v>
      </x:c>
      <x:c r="C5" s="48" t="str">
        <x:v>山西</x:v>
      </x:c>
      <x:c r="D5" s="48" t="n">
        <x:v>2024</x:v>
      </x:c>
      <x:c r="E5" s="48" t="n">
        <x:v>5.8</x:v>
      </x:c>
      <x:c r="F5" s="48" t="n">
        <x:v>0</x:v>
      </x:c>
      <x:c r="G5" s="48" t="n">
        <x:v>0</x:v>
      </x:c>
      <x:c r="H5" s="48" t="n">
        <x:v>0</x:v>
      </x:c>
      <x:c r="I5" s="48" t="n">
        <x:v>5.8</x:v>
      </x:c>
      <x:c r="J5" s="48" t="n">
        <x:v>0</x:v>
      </x:c>
      <x:c r="K5" s="48" t="n">
        <x:v>5.8</x:v>
      </x:c>
      <x:c r="L5" s="54" t="n">
        <x:v>3446</x:v>
      </x:c>
      <x:c r="M5" s="54" t="n">
        <x:v>32441</x:v>
      </x:c>
      <x:c r="N5" s="54" t="n">
        <x:v>793400</x:v>
      </x:c>
      <x:c r="O5" s="54" t="n">
        <x:v>9288</x:v>
      </x:c>
      <x:c r="P5" s="54" t="n">
        <x:v>224552</x:v>
      </x:c>
      <x:c r="Q5" s="54" t="n">
        <x:v>28985</x:v>
      </x:c>
      <x:c r="R5" s="54" t="n">
        <x:v>2600</x:v>
      </x:c>
      <x:c r="S5" s="48" t="n">
        <x:v>6152.9</x:v>
      </x:c>
      <x:c r="T5" s="53" t="str">
        <x:v>NBS 2025 Tables 2-5; 6-18; 8-10; 12-15; 16-13; 16-39</x:v>
      </x:c>
      <x:c r="U5" s="53" t="str">
        <x:v>official public data; manually transcribed and double-checked</x:v>
      </x:c>
      <x:c r="V5" s="53" t="str">
        <x:v>Values retain the units printed by NBS; component totals can differ by 0.1 because the source is rounded to one decimal place.</x:v>
      </x:c>
    </x:row>
    <x:row r="6" ht="34" hidden="0" customHeight="1">
      <x:c r="A6" s="48" t="str">
        <x:v>CN-NM</x:v>
      </x:c>
      <x:c r="B6" s="48" t="str">
        <x:v>Inner Mongolia</x:v>
      </x:c>
      <x:c r="C6" s="48" t="str">
        <x:v>内蒙古</x:v>
      </x:c>
      <x:c r="D6" s="48" t="n">
        <x:v>2024</x:v>
      </x:c>
      <x:c r="E6" s="48" t="n">
        <x:v>11.6</x:v>
      </x:c>
      <x:c r="F6" s="48" t="n">
        <x:v>0</x:v>
      </x:c>
      <x:c r="G6" s="48" t="n">
        <x:v>0</x:v>
      </x:c>
      <x:c r="H6" s="48" t="n">
        <x:v>0</x:v>
      </x:c>
      <x:c r="I6" s="48" t="n">
        <x:v>11.6</x:v>
      </x:c>
      <x:c r="J6" s="48" t="n">
        <x:v>1.1</x:v>
      </x:c>
      <x:c r="K6" s="48" t="n">
        <x:v>10.4</x:v>
      </x:c>
      <x:c r="L6" s="54" t="n">
        <x:v>2388</x:v>
      </x:c>
      <x:c r="M6" s="54" t="n">
        <x:v>40077</x:v>
      </x:c>
      <x:c r="N6" s="54" t="n">
        <x:v>906870</x:v>
      </x:c>
      <x:c r="O6" s="54" t="n">
        <x:v>5604</x:v>
      </x:c>
      <x:c r="P6" s="54" t="n">
        <x:v>251474</x:v>
      </x:c>
      <x:c r="Q6" s="54" t="n">
        <x:v>13949</x:v>
      </x:c>
      <x:c r="R6" s="54" t="n">
        <x:v>1521</x:v>
      </x:c>
      <x:c r="S6" s="48" t="n">
        <x:v>6194.2</x:v>
      </x:c>
      <x:c r="T6" s="53" t="str">
        <x:v>NBS 2025 Tables 2-5; 6-18; 8-10; 12-15; 16-13; 16-39</x:v>
      </x:c>
      <x:c r="U6" s="53" t="str">
        <x:v>official public data; manually transcribed and double-checked</x:v>
      </x:c>
      <x:c r="V6" s="53" t="str">
        <x:v>Values retain the units printed by NBS; component totals can differ by 0.1 because the source is rounded to one decimal place.</x:v>
      </x:c>
    </x:row>
    <x:row r="7" ht="34" hidden="0" customHeight="1">
      <x:c r="A7" s="48" t="str">
        <x:v>CN-LN</x:v>
      </x:c>
      <x:c r="B7" s="48" t="str">
        <x:v>Liaoning</x:v>
      </x:c>
      <x:c r="C7" s="48" t="str">
        <x:v>辽宁</x:v>
      </x:c>
      <x:c r="D7" s="48" t="n">
        <x:v>2024</x:v>
      </x:c>
      <x:c r="E7" s="48" t="n">
        <x:v>535.9</x:v>
      </x:c>
      <x:c r="F7" s="48" t="n">
        <x:v>452</x:v>
      </x:c>
      <x:c r="G7" s="48" t="n">
        <x:v>69.7</x:v>
      </x:c>
      <x:c r="H7" s="48" t="n">
        <x:v>382.3</x:v>
      </x:c>
      <x:c r="I7" s="48" t="n">
        <x:v>83.9</x:v>
      </x:c>
      <x:c r="J7" s="48" t="n">
        <x:v>3.3</x:v>
      </x:c>
      <x:c r="K7" s="48" t="n">
        <x:v>80.6</x:v>
      </x:c>
      <x:c r="L7" s="54" t="n">
        <x:v>4155</x:v>
      </x:c>
      <x:c r="M7" s="54" t="n">
        <x:v>39844</x:v>
      </x:c>
      <x:c r="N7" s="54" t="n">
        <x:v>1372012</x:v>
      </x:c>
      <x:c r="O7" s="54" t="n">
        <x:v>15537</x:v>
      </x:c>
      <x:c r="P7" s="54" t="n">
        <x:v>185682</x:v>
      </x:c>
      <x:c r="Q7" s="54" t="n">
        <x:v>33151</x:v>
      </x:c>
      <x:c r="R7" s="54" t="n">
        <x:v>2759</x:v>
      </x:c>
      <x:c r="S7" s="48" t="n">
        <x:v>6954.6</x:v>
      </x:c>
      <x:c r="T7" s="53" t="str">
        <x:v>NBS 2025 Tables 2-5; 6-18; 8-10; 12-15; 16-13; 16-39</x:v>
      </x:c>
      <x:c r="U7" s="53" t="str">
        <x:v>official public data; manually transcribed and double-checked</x:v>
      </x:c>
      <x:c r="V7" s="53" t="str">
        <x:v>Values retain the units printed by NBS; component totals can differ by 0.1 because the source is rounded to one decimal place.</x:v>
      </x:c>
    </x:row>
    <x:row r="8" ht="34" hidden="0" customHeight="1">
      <x:c r="A8" s="48" t="str">
        <x:v>CN-JL</x:v>
      </x:c>
      <x:c r="B8" s="48" t="str">
        <x:v>Jilin</x:v>
      </x:c>
      <x:c r="C8" s="48" t="str">
        <x:v>吉林</x:v>
      </x:c>
      <x:c r="D8" s="48" t="n">
        <x:v>2024</x:v>
      </x:c>
      <x:c r="E8" s="48" t="n">
        <x:v>26.6</x:v>
      </x:c>
      <x:c r="F8" s="48" t="n">
        <x:v>0</x:v>
      </x:c>
      <x:c r="G8" s="48" t="n">
        <x:v>0</x:v>
      </x:c>
      <x:c r="H8" s="48" t="n">
        <x:v>0</x:v>
      </x:c>
      <x:c r="I8" s="48" t="n">
        <x:v>26.6</x:v>
      </x:c>
      <x:c r="J8" s="48" t="n">
        <x:v>1.8</x:v>
      </x:c>
      <x:c r="K8" s="48" t="n">
        <x:v>24.8</x:v>
      </x:c>
      <x:c r="L8" s="54" t="n">
        <x:v>2317</x:v>
      </x:c>
      <x:c r="M8" s="54" t="n">
        <x:v>31318</x:v>
      </x:c>
      <x:c r="N8" s="54" t="n">
        <x:v>899449</x:v>
      </x:c>
      <x:c r="O8" s="54" t="n">
        <x:v>7346</x:v>
      </x:c>
      <x:c r="P8" s="54" t="n">
        <x:v>55578</x:v>
      </x:c>
      <x:c r="Q8" s="54" t="n">
        <x:v>13240</x:v>
      </x:c>
      <x:c r="R8" s="54" t="n">
        <x:v>1018</x:v>
      </x:c>
      <x:c r="S8" s="48" t="n">
        <x:v>1322.6</x:v>
      </x:c>
      <x:c r="T8" s="53" t="str">
        <x:v>NBS 2025 Tables 2-5; 6-18; 8-10; 12-15; 16-13; 16-39</x:v>
      </x:c>
      <x:c r="U8" s="53" t="str">
        <x:v>official public data; manually transcribed and double-checked</x:v>
      </x:c>
      <x:c r="V8" s="53" t="str">
        <x:v>Values retain the units printed by NBS; component totals can differ by 0.1 because the source is rounded to one decimal place.</x:v>
      </x:c>
    </x:row>
    <x:row r="9" ht="34" hidden="0" customHeight="1">
      <x:c r="A9" s="48" t="str">
        <x:v>CN-HL</x:v>
      </x:c>
      <x:c r="B9" s="48" t="str">
        <x:v>Heilongjiang</x:v>
      </x:c>
      <x:c r="C9" s="48" t="str">
        <x:v>黑龙江</x:v>
      </x:c>
      <x:c r="D9" s="48" t="n">
        <x:v>2024</x:v>
      </x:c>
      <x:c r="E9" s="48" t="n">
        <x:v>81.4</x:v>
      </x:c>
      <x:c r="F9" s="48" t="n">
        <x:v>0</x:v>
      </x:c>
      <x:c r="G9" s="48" t="n">
        <x:v>0</x:v>
      </x:c>
      <x:c r="H9" s="48" t="n">
        <x:v>0</x:v>
      </x:c>
      <x:c r="I9" s="48" t="n">
        <x:v>81.4</x:v>
      </x:c>
      <x:c r="J9" s="48" t="n">
        <x:v>5.1</x:v>
      </x:c>
      <x:c r="K9" s="48" t="n">
        <x:v>76.3</x:v>
      </x:c>
      <x:c r="L9" s="54" t="n">
        <x:v>3029</x:v>
      </x:c>
      <x:c r="M9" s="54" t="n">
        <x:v>31269</x:v>
      </x:c>
      <x:c r="N9" s="54" t="n">
        <x:v>1004969</x:v>
      </x:c>
      <x:c r="O9" s="54" t="n">
        <x:v>9166</x:v>
      </x:c>
      <x:c r="P9" s="54" t="n">
        <x:v>55452</x:v>
      </x:c>
      <x:c r="Q9" s="54" t="n">
        <x:v>15078</x:v>
      </x:c>
      <x:c r="R9" s="54" t="n">
        <x:v>1263</x:v>
      </x:c>
      <x:c r="S9" s="48" t="n">
        <x:v>1372.8</x:v>
      </x:c>
      <x:c r="T9" s="53" t="str">
        <x:v>NBS 2025 Tables 2-5; 6-18; 8-10; 12-15; 16-13; 16-39</x:v>
      </x:c>
      <x:c r="U9" s="53" t="str">
        <x:v>official public data; manually transcribed and double-checked</x:v>
      </x:c>
      <x:c r="V9" s="53" t="str">
        <x:v>Values retain the units printed by NBS; component totals can differ by 0.1 because the source is rounded to one decimal place.</x:v>
      </x:c>
    </x:row>
    <x:row r="10" ht="34" hidden="0" customHeight="1">
      <x:c r="A10" s="48" t="str">
        <x:v>CN-SH</x:v>
      </x:c>
      <x:c r="B10" s="48" t="str">
        <x:v>Shanghai</x:v>
      </x:c>
      <x:c r="C10" s="48" t="str">
        <x:v>上海</x:v>
      </x:c>
      <x:c r="D10" s="48" t="n">
        <x:v>2024</x:v>
      </x:c>
      <x:c r="E10" s="48" t="n">
        <x:v>22</x:v>
      </x:c>
      <x:c r="F10" s="48" t="n">
        <x:v>12.1</x:v>
      </x:c>
      <x:c r="G10" s="48" t="n">
        <x:v>12.1</x:v>
      </x:c>
      <x:c r="H10" s="48" t="n">
        <x:v>0</x:v>
      </x:c>
      <x:c r="I10" s="48" t="n">
        <x:v>10</x:v>
      </x:c>
      <x:c r="J10" s="48" t="n">
        <x:v>0</x:v>
      </x:c>
      <x:c r="K10" s="48" t="n">
        <x:v>9.9</x:v>
      </x:c>
      <x:c r="L10" s="54" t="n">
        <x:v>2480</x:v>
      </x:c>
      <x:c r="M10" s="54" t="n">
        <x:v>88366</x:v>
      </x:c>
      <x:c r="N10" s="54" t="n">
        <x:v>130709</x:v>
      </x:c>
      <x:c r="O10" s="54" t="n">
        <x:v>1617</x:v>
      </x:c>
      <x:c r="P10" s="54" t="n">
        <x:v>155511</x:v>
      </x:c>
      <x:c r="Q10" s="54" t="n">
        <x:v>57286</x:v>
      </x:c>
      <x:c r="R10" s="54" t="n">
        <x:v>8479</x:v>
      </x:c>
      <x:c r="S10" s="48" t="n">
        <x:v>46683.4</x:v>
      </x:c>
      <x:c r="T10" s="53" t="str">
        <x:v>NBS 2025 Tables 2-5; 6-18; 8-10; 12-15; 16-13; 16-39</x:v>
      </x:c>
      <x:c r="U10" s="53" t="str">
        <x:v>official public data; manually transcribed and double-checked</x:v>
      </x:c>
      <x:c r="V10" s="53" t="str">
        <x:v>Values retain the units printed by NBS; component totals can differ by 0.1 because the source is rounded to one decimal place.</x:v>
      </x:c>
    </x:row>
    <x:row r="11" ht="34" hidden="0" customHeight="1">
      <x:c r="A11" s="48" t="str">
        <x:v>CN-JS</x:v>
      </x:c>
      <x:c r="B11" s="48" t="str">
        <x:v>Jiangsu</x:v>
      </x:c>
      <x:c r="C11" s="48" t="str">
        <x:v>江苏</x:v>
      </x:c>
      <x:c r="D11" s="48" t="n">
        <x:v>2024</x:v>
      </x:c>
      <x:c r="E11" s="48" t="n">
        <x:v>536.1</x:v>
      </x:c>
      <x:c r="F11" s="48" t="n">
        <x:v>148.1</x:v>
      </x:c>
      <x:c r="G11" s="48" t="n">
        <x:v>45.8</x:v>
      </x:c>
      <x:c r="H11" s="48" t="n">
        <x:v>102.3</x:v>
      </x:c>
      <x:c r="I11" s="48" t="n">
        <x:v>388</x:v>
      </x:c>
      <x:c r="J11" s="48" t="n">
        <x:v>18.5</x:v>
      </x:c>
      <x:c r="K11" s="48" t="n">
        <x:v>369.4</x:v>
      </x:c>
      <x:c r="L11" s="54" t="n">
        <x:v>8526</x:v>
      </x:c>
      <x:c r="M11" s="54" t="n">
        <x:v>55415</x:v>
      </x:c>
      <x:c r="N11" s="54" t="n">
        <x:v>1206340</x:v>
      </x:c>
      <x:c r="O11" s="54" t="n">
        <x:v>18831</x:v>
      </x:c>
      <x:c r="P11" s="54" t="n">
        <x:v>319944</x:v>
      </x:c>
      <x:c r="Q11" s="54" t="n">
        <x:v>185646</x:v>
      </x:c>
      <x:c r="R11" s="54" t="n">
        <x:v>21199</x:v>
      </x:c>
      <x:c r="S11" s="48" t="n">
        <x:v>30208.7</x:v>
      </x:c>
      <x:c r="T11" s="53" t="str">
        <x:v>NBS 2025 Tables 2-5; 6-18; 8-10; 12-15; 16-13; 16-39</x:v>
      </x:c>
      <x:c r="U11" s="53" t="str">
        <x:v>official public data; manually transcribed and double-checked</x:v>
      </x:c>
      <x:c r="V11" s="53" t="str">
        <x:v>Values retain the units printed by NBS; component totals can differ by 0.1 because the source is rounded to one decimal place.</x:v>
      </x:c>
    </x:row>
    <x:row r="12" ht="34" hidden="0" customHeight="1">
      <x:c r="A12" s="48" t="str">
        <x:v>CN-ZJ</x:v>
      </x:c>
      <x:c r="B12" s="48" t="str">
        <x:v>Zhejiang</x:v>
      </x:c>
      <x:c r="C12" s="48" t="str">
        <x:v>浙江</x:v>
      </x:c>
      <x:c r="D12" s="48" t="n">
        <x:v>2024</x:v>
      </x:c>
      <x:c r="E12" s="48" t="n">
        <x:v>649.5</x:v>
      </x:c>
      <x:c r="F12" s="48" t="n">
        <x:v>488.5</x:v>
      </x:c>
      <x:c r="G12" s="48" t="n">
        <x:v>316.3</x:v>
      </x:c>
      <x:c r="H12" s="48" t="n">
        <x:v>172.2</x:v>
      </x:c>
      <x:c r="I12" s="48" t="n">
        <x:v>161</x:v>
      </x:c>
      <x:c r="J12" s="48" t="n">
        <x:v>17.1</x:v>
      </x:c>
      <x:c r="K12" s="48" t="n">
        <x:v>144</x:v>
      </x:c>
      <x:c r="L12" s="54" t="n">
        <x:v>6670</x:v>
      </x:c>
      <x:c r="M12" s="54" t="n">
        <x:v>67013</x:v>
      </x:c>
      <x:c r="N12" s="54" t="n">
        <x:v>514440</x:v>
      </x:c>
      <x:c r="O12" s="54" t="n">
        <x:v>12599</x:v>
      </x:c>
      <x:c r="P12" s="54" t="n">
        <x:v>371158</x:v>
      </x:c>
      <x:c r="Q12" s="54" t="n">
        <x:v>139433</x:v>
      </x:c>
      <x:c r="R12" s="54" t="n">
        <x:v>19861</x:v>
      </x:c>
      <x:c r="S12" s="48" t="n">
        <x:v>27311.2</x:v>
      </x:c>
      <x:c r="T12" s="53" t="str">
        <x:v>NBS 2025 Tables 2-5; 6-18; 8-10; 12-15; 16-13; 16-39</x:v>
      </x:c>
      <x:c r="U12" s="53" t="str">
        <x:v>official public data; manually transcribed and double-checked</x:v>
      </x:c>
      <x:c r="V12" s="53" t="str">
        <x:v>Values retain the units printed by NBS; component totals can differ by 0.1 because the source is rounded to one decimal place.</x:v>
      </x:c>
    </x:row>
    <x:row r="13" ht="34" hidden="0" customHeight="1">
      <x:c r="A13" s="48" t="str">
        <x:v>CN-AH</x:v>
      </x:c>
      <x:c r="B13" s="48" t="str">
        <x:v>Anhui</x:v>
      </x:c>
      <x:c r="C13" s="48" t="str">
        <x:v>安徽</x:v>
      </x:c>
      <x:c r="D13" s="48" t="n">
        <x:v>2024</x:v>
      </x:c>
      <x:c r="E13" s="48" t="n">
        <x:v>261.2</x:v>
      </x:c>
      <x:c r="F13" s="48" t="n">
        <x:v>0</x:v>
      </x:c>
      <x:c r="G13" s="48" t="n">
        <x:v>0</x:v>
      </x:c>
      <x:c r="H13" s="48" t="n">
        <x:v>0</x:v>
      </x:c>
      <x:c r="I13" s="48" t="n">
        <x:v>261.2</x:v>
      </x:c>
      <x:c r="J13" s="48" t="n">
        <x:v>9.8</x:v>
      </x:c>
      <x:c r="K13" s="48" t="n">
        <x:v>251.4</x:v>
      </x:c>
      <x:c r="L13" s="54" t="n">
        <x:v>6123</x:v>
      </x:c>
      <x:c r="M13" s="54" t="n">
        <x:v>36782</x:v>
      </x:c>
      <x:c r="N13" s="54" t="n">
        <x:v>1397464</x:v>
      </x:c>
      <x:c r="O13" s="54" t="n">
        <x:v>22504</x:v>
      </x:c>
      <x:c r="P13" s="54" t="n">
        <x:v>441542</x:v>
      </x:c>
      <x:c r="Q13" s="54" t="n">
        <x:v>58921</x:v>
      </x:c>
      <x:c r="R13" s="54" t="n">
        <x:v>7057</x:v>
      </x:c>
      <x:c r="S13" s="48" t="n">
        <x:v>11568.9</x:v>
      </x:c>
      <x:c r="T13" s="53" t="str">
        <x:v>NBS 2025 Tables 2-5; 6-18; 8-10; 12-15; 16-13; 16-39</x:v>
      </x:c>
      <x:c r="U13" s="53" t="str">
        <x:v>official public data; manually transcribed and double-checked</x:v>
      </x:c>
      <x:c r="V13" s="53" t="str">
        <x:v>Values retain the units printed by NBS; component totals can differ by 0.1 because the source is rounded to one decimal place.</x:v>
      </x:c>
    </x:row>
    <x:row r="14" ht="34" hidden="0" customHeight="1">
      <x:c r="A14" s="48" t="str">
        <x:v>CN-FJ</x:v>
      </x:c>
      <x:c r="B14" s="48" t="str">
        <x:v>Fujian</x:v>
      </x:c>
      <x:c r="C14" s="48" t="str">
        <x:v>福建</x:v>
      </x:c>
      <x:c r="D14" s="48" t="n">
        <x:v>2024</x:v>
      </x:c>
      <x:c r="E14" s="48" t="n">
        <x:v>924.7</x:v>
      </x:c>
      <x:c r="F14" s="48" t="n">
        <x:v>818.7</x:v>
      </x:c>
      <x:c r="G14" s="48" t="n">
        <x:v>205.4</x:v>
      </x:c>
      <x:c r="H14" s="48" t="n">
        <x:v>613.3</x:v>
      </x:c>
      <x:c r="I14" s="48" t="n">
        <x:v>106</x:v>
      </x:c>
      <x:c r="J14" s="48" t="n">
        <x:v>7.3</x:v>
      </x:c>
      <x:c r="K14" s="48" t="n">
        <x:v>98.7</x:v>
      </x:c>
      <x:c r="L14" s="54" t="n">
        <x:v>4193</x:v>
      </x:c>
      <x:c r="M14" s="54" t="n">
        <x:v>47857</x:v>
      </x:c>
      <x:c r="N14" s="54" t="n">
        <x:v>602380</x:v>
      </x:c>
      <x:c r="O14" s="54" t="n">
        <x:v>15302</x:v>
      </x:c>
      <x:c r="P14" s="54" t="n">
        <x:v>183536</x:v>
      </x:c>
      <x:c r="Q14" s="54" t="n">
        <x:v>73324</x:v>
      </x:c>
      <x:c r="R14" s="54" t="n">
        <x:v>9134</x:v>
      </x:c>
      <x:c r="S14" s="48" t="n">
        <x:v>13504.5</x:v>
      </x:c>
      <x:c r="T14" s="53" t="str">
        <x:v>NBS 2025 Tables 2-5; 6-18; 8-10; 12-15; 16-13; 16-39</x:v>
      </x:c>
      <x:c r="U14" s="53" t="str">
        <x:v>official public data; manually transcribed and double-checked</x:v>
      </x:c>
      <x:c r="V14" s="53" t="str">
        <x:v>Values retain the units printed by NBS; component totals can differ by 0.1 because the source is rounded to one decimal place.</x:v>
      </x:c>
    </x:row>
    <x:row r="15" ht="34" hidden="0" customHeight="1">
      <x:c r="A15" s="48" t="str">
        <x:v>CN-JX</x:v>
      </x:c>
      <x:c r="B15" s="48" t="str">
        <x:v>Jiangxi</x:v>
      </x:c>
      <x:c r="C15" s="48" t="str">
        <x:v>江西</x:v>
      </x:c>
      <x:c r="D15" s="48" t="n">
        <x:v>2024</x:v>
      </x:c>
      <x:c r="E15" s="48" t="n">
        <x:v>303.3</x:v>
      </x:c>
      <x:c r="F15" s="48" t="n">
        <x:v>0</x:v>
      </x:c>
      <x:c r="G15" s="48" t="n">
        <x:v>0</x:v>
      </x:c>
      <x:c r="H15" s="48" t="n">
        <x:v>0</x:v>
      </x:c>
      <x:c r="I15" s="48" t="n">
        <x:v>303.3</x:v>
      </x:c>
      <x:c r="J15" s="48" t="n">
        <x:v>1</x:v>
      </x:c>
      <x:c r="K15" s="48" t="n">
        <x:v>302.2</x:v>
      </x:c>
      <x:c r="L15" s="54" t="n">
        <x:v>4502</x:v>
      </x:c>
      <x:c r="M15" s="54" t="n">
        <x:v>36007</x:v>
      </x:c>
      <x:c r="N15" s="54" t="n">
        <x:v>1044465</x:v>
      </x:c>
      <x:c r="O15" s="54" t="n">
        <x:v>17393</x:v>
      </x:c>
      <x:c r="P15" s="54" t="n">
        <x:v>215859</x:v>
      </x:c>
      <x:c r="Q15" s="54" t="n">
        <x:v>54180</x:v>
      </x:c>
      <x:c r="R15" s="54" t="n">
        <x:v>6792</x:v>
      </x:c>
      <x:c r="S15" s="48" t="n">
        <x:v>4765.4</x:v>
      </x:c>
      <x:c r="T15" s="53" t="str">
        <x:v>NBS 2025 Tables 2-5; 6-18; 8-10; 12-15; 16-13; 16-39</x:v>
      </x:c>
      <x:c r="U15" s="53" t="str">
        <x:v>official public data; manually transcribed and double-checked</x:v>
      </x:c>
      <x:c r="V15" s="53" t="str">
        <x:v>Values retain the units printed by NBS; component totals can differ by 0.1 because the source is rounded to one decimal place.</x:v>
      </x:c>
    </x:row>
    <x:row r="16" ht="34" hidden="0" customHeight="1">
      <x:c r="A16" s="48" t="str">
        <x:v>CN-SD</x:v>
      </x:c>
      <x:c r="B16" s="48" t="str">
        <x:v>Shandong</x:v>
      </x:c>
      <x:c r="C16" s="48" t="str">
        <x:v>山东</x:v>
      </x:c>
      <x:c r="D16" s="48" t="n">
        <x:v>2024</x:v>
      </x:c>
      <x:c r="E16" s="48" t="n">
        <x:v>952.7</x:v>
      </x:c>
      <x:c r="F16" s="48" t="n">
        <x:v>825.2</x:v>
      </x:c>
      <x:c r="G16" s="48" t="n">
        <x:v>219</x:v>
      </x:c>
      <x:c r="H16" s="48" t="n">
        <x:v>606.3</x:v>
      </x:c>
      <x:c r="I16" s="48" t="n">
        <x:v>127.5</x:v>
      </x:c>
      <x:c r="J16" s="48" t="n">
        <x:v>10.8</x:v>
      </x:c>
      <x:c r="K16" s="48" t="n">
        <x:v>116.7</x:v>
      </x:c>
      <x:c r="L16" s="54" t="n">
        <x:v>10080</x:v>
      </x:c>
      <x:c r="M16" s="54" t="n">
        <x:v>42077</x:v>
      </x:c>
      <x:c r="N16" s="54" t="n">
        <x:v>1542184</x:v>
      </x:c>
      <x:c r="O16" s="54" t="n">
        <x:v>16048</x:v>
      </x:c>
      <x:c r="P16" s="54" t="n">
        <x:v>355666</x:v>
      </x:c>
      <x:c r="Q16" s="54" t="n">
        <x:v>128344</x:v>
      </x:c>
      <x:c r="R16" s="54" t="n">
        <x:v>21871</x:v>
      </x:c>
      <x:c r="S16" s="48" t="n">
        <x:v>34535.2</x:v>
      </x:c>
      <x:c r="T16" s="53" t="str">
        <x:v>NBS 2025 Tables 2-5; 6-18; 8-10; 12-15; 16-13; 16-39</x:v>
      </x:c>
      <x:c r="U16" s="53" t="str">
        <x:v>official public data; manually transcribed and double-checked</x:v>
      </x:c>
      <x:c r="V16" s="53" t="str">
        <x:v>Values retain the units printed by NBS; component totals can differ by 0.1 because the source is rounded to one decimal place.</x:v>
      </x:c>
    </x:row>
    <x:row r="17" ht="34" hidden="0" customHeight="1">
      <x:c r="A17" s="48" t="str">
        <x:v>CN-HA</x:v>
      </x:c>
      <x:c r="B17" s="48" t="str">
        <x:v>Henan</x:v>
      </x:c>
      <x:c r="C17" s="48" t="str">
        <x:v>河南</x:v>
      </x:c>
      <x:c r="D17" s="48" t="n">
        <x:v>2024</x:v>
      </x:c>
      <x:c r="E17" s="48" t="n">
        <x:v>100.4</x:v>
      </x:c>
      <x:c r="F17" s="48" t="n">
        <x:v>0</x:v>
      </x:c>
      <x:c r="G17" s="48" t="n">
        <x:v>0</x:v>
      </x:c>
      <x:c r="H17" s="48" t="n">
        <x:v>0</x:v>
      </x:c>
      <x:c r="I17" s="48" t="n">
        <x:v>100.4</x:v>
      </x:c>
      <x:c r="J17" s="48" t="n">
        <x:v>11.1</x:v>
      </x:c>
      <x:c r="K17" s="48" t="n">
        <x:v>89.3</x:v>
      </x:c>
      <x:c r="L17" s="54" t="n">
        <x:v>9785</x:v>
      </x:c>
      <x:c r="M17" s="54" t="n">
        <x:v>31552</x:v>
      </x:c>
      <x:c r="N17" s="54" t="n">
        <x:v>1699957</x:v>
      </x:c>
      <x:c r="O17" s="54" t="n">
        <x:v>21009</x:v>
      </x:c>
      <x:c r="P17" s="54" t="n">
        <x:v>293441</x:v>
      </x:c>
      <x:c r="Q17" s="54" t="n">
        <x:v>75879</x:v>
      </x:c>
      <x:c r="R17" s="54" t="n">
        <x:v>6797</x:v>
      </x:c>
      <x:c r="S17" s="48" t="n">
        <x:v>9664.9</x:v>
      </x:c>
      <x:c r="T17" s="53" t="str">
        <x:v>NBS 2025 Tables 2-5; 6-18; 8-10; 12-15; 16-13; 16-39</x:v>
      </x:c>
      <x:c r="U17" s="53" t="str">
        <x:v>official public data; manually transcribed and double-checked</x:v>
      </x:c>
      <x:c r="V17" s="53" t="str">
        <x:v>Values retain the units printed by NBS; component totals can differ by 0.1 because the source is rounded to one decimal place.</x:v>
      </x:c>
    </x:row>
    <x:row r="18" ht="34" hidden="0" customHeight="1">
      <x:c r="A18" s="48" t="str">
        <x:v>CN-HB</x:v>
      </x:c>
      <x:c r="B18" s="48" t="str">
        <x:v>Hubei</x:v>
      </x:c>
      <x:c r="C18" s="48" t="str">
        <x:v>湖北</x:v>
      </x:c>
      <x:c r="D18" s="48" t="n">
        <x:v>2024</x:v>
      </x:c>
      <x:c r="E18" s="48" t="n">
        <x:v>546.4</x:v>
      </x:c>
      <x:c r="F18" s="48" t="n">
        <x:v>0</x:v>
      </x:c>
      <x:c r="G18" s="48" t="n">
        <x:v>0</x:v>
      </x:c>
      <x:c r="H18" s="48" t="n">
        <x:v>0</x:v>
      </x:c>
      <x:c r="I18" s="48" t="n">
        <x:v>546.4</x:v>
      </x:c>
      <x:c r="J18" s="48" t="n">
        <x:v>2.4</x:v>
      </x:c>
      <x:c r="K18" s="48" t="n">
        <x:v>544.1</x:v>
      </x:c>
      <x:c r="L18" s="54" t="n">
        <x:v>5834</x:v>
      </x:c>
      <x:c r="M18" s="54" t="n">
        <x:v>36947</x:v>
      </x:c>
      <x:c r="N18" s="54" t="n">
        <x:v>1490235</x:v>
      </x:c>
      <x:c r="O18" s="54" t="n">
        <x:v>24650</x:v>
      </x:c>
      <x:c r="P18" s="54" t="n">
        <x:v>267173</x:v>
      </x:c>
      <x:c r="Q18" s="54" t="n">
        <x:v>70736</x:v>
      </x:c>
      <x:c r="R18" s="54" t="n">
        <x:v>9377</x:v>
      </x:c>
      <x:c r="S18" s="48" t="n">
        <x:v>10974.4</x:v>
      </x:c>
      <x:c r="T18" s="53" t="str">
        <x:v>NBS 2025 Tables 2-5; 6-18; 8-10; 12-15; 16-13; 16-39</x:v>
      </x:c>
      <x:c r="U18" s="53" t="str">
        <x:v>official public data; manually transcribed and double-checked</x:v>
      </x:c>
      <x:c r="V18" s="53" t="str">
        <x:v>Values retain the units printed by NBS; component totals can differ by 0.1 because the source is rounded to one decimal place.</x:v>
      </x:c>
    </x:row>
    <x:row r="19" ht="34" hidden="0" customHeight="1">
      <x:c r="A19" s="48" t="str">
        <x:v>CN-HN</x:v>
      </x:c>
      <x:c r="B19" s="48" t="str">
        <x:v>Hunan</x:v>
      </x:c>
      <x:c r="C19" s="48" t="str">
        <x:v>湖南</x:v>
      </x:c>
      <x:c r="D19" s="48" t="n">
        <x:v>2024</x:v>
      </x:c>
      <x:c r="E19" s="48" t="n">
        <x:v>299.1</x:v>
      </x:c>
      <x:c r="F19" s="48" t="n">
        <x:v>0</x:v>
      </x:c>
      <x:c r="G19" s="48" t="n">
        <x:v>0</x:v>
      </x:c>
      <x:c r="H19" s="48" t="n">
        <x:v>0</x:v>
      </x:c>
      <x:c r="I19" s="48" t="n">
        <x:v>299.1</x:v>
      </x:c>
      <x:c r="J19" s="48" t="n">
        <x:v>0.1</x:v>
      </x:c>
      <x:c r="K19" s="48" t="n">
        <x:v>299</x:v>
      </x:c>
      <x:c r="L19" s="54" t="n">
        <x:v>6539</x:v>
      </x:c>
      <x:c r="M19" s="54" t="n">
        <x:v>37679</x:v>
      </x:c>
      <x:c r="N19" s="54" t="n">
        <x:v>1732340</x:v>
      </x:c>
      <x:c r="O19" s="54" t="n">
        <x:v>28663</x:v>
      </x:c>
      <x:c r="P19" s="54" t="n">
        <x:v>237819</x:v>
      </x:c>
      <x:c r="Q19" s="54" t="n">
        <x:v>56846</x:v>
      </x:c>
      <x:c r="R19" s="54" t="n">
        <x:v>7094</x:v>
      </x:c>
      <x:c r="S19" s="48" t="n">
        <x:v>6560.1</x:v>
      </x:c>
      <x:c r="T19" s="53" t="str">
        <x:v>NBS 2025 Tables 2-5; 6-18; 8-10; 12-15; 16-13; 16-39</x:v>
      </x:c>
      <x:c r="U19" s="53" t="str">
        <x:v>official public data; manually transcribed and double-checked</x:v>
      </x:c>
      <x:c r="V19" s="53" t="str">
        <x:v>Values retain the units printed by NBS; component totals can differ by 0.1 because the source is rounded to one decimal place.</x:v>
      </x:c>
    </x:row>
    <x:row r="20" ht="34" hidden="0" customHeight="1">
      <x:c r="A20" s="48" t="str">
        <x:v>CN-GD</x:v>
      </x:c>
      <x:c r="B20" s="48" t="str">
        <x:v>Guangdong</x:v>
      </x:c>
      <x:c r="C20" s="48" t="str">
        <x:v>广东</x:v>
      </x:c>
      <x:c r="D20" s="48" t="n">
        <x:v>2024</x:v>
      </x:c>
      <x:c r="E20" s="48" t="n">
        <x:v>966.4</x:v>
      </x:c>
      <x:c r="F20" s="48" t="n">
        <x:v>508.4</x:v>
      </x:c>
      <x:c r="G20" s="48" t="n">
        <x:v>131.5</x:v>
      </x:c>
      <x:c r="H20" s="48" t="n">
        <x:v>376.8</x:v>
      </x:c>
      <x:c r="I20" s="48" t="n">
        <x:v>458</x:v>
      </x:c>
      <x:c r="J20" s="48" t="n">
        <x:v>7.2</x:v>
      </x:c>
      <x:c r="K20" s="48" t="n">
        <x:v>450.8</x:v>
      </x:c>
      <x:c r="L20" s="54" t="n">
        <x:v>12780</x:v>
      </x:c>
      <x:c r="M20" s="54" t="n">
        <x:v>51474</x:v>
      </x:c>
      <x:c r="N20" s="54" t="n">
        <x:v>1706500</x:v>
      </x:c>
      <x:c r="O20" s="54" t="n">
        <x:v>33917</x:v>
      </x:c>
      <x:c r="P20" s="54" t="n">
        <x:v>371959</x:v>
      </x:c>
      <x:c r="Q20" s="54" t="n">
        <x:v>215442</x:v>
      </x:c>
      <x:c r="R20" s="54" t="n">
        <x:v>27520</x:v>
      </x:c>
      <x:c r="S20" s="48" t="n">
        <x:v>53706.6</x:v>
      </x:c>
      <x:c r="T20" s="53" t="str">
        <x:v>NBS 2025 Tables 2-5; 6-18; 8-10; 12-15; 16-13; 16-39</x:v>
      </x:c>
      <x:c r="U20" s="53" t="str">
        <x:v>official public data; manually transcribed and double-checked</x:v>
      </x:c>
      <x:c r="V20" s="53" t="str">
        <x:v>Values retain the units printed by NBS; component totals can differ by 0.1 because the source is rounded to one decimal place.</x:v>
      </x:c>
    </x:row>
    <x:row r="21" ht="34" hidden="0" customHeight="1">
      <x:c r="A21" s="48" t="str">
        <x:v>CN-GX</x:v>
      </x:c>
      <x:c r="B21" s="48" t="str">
        <x:v>Guangxi</x:v>
      </x:c>
      <x:c r="C21" s="48" t="str">
        <x:v>广西</x:v>
      </x:c>
      <x:c r="D21" s="48" t="n">
        <x:v>2024</x:v>
      </x:c>
      <x:c r="E21" s="48" t="n">
        <x:v>388.7</x:v>
      </x:c>
      <x:c r="F21" s="48" t="n">
        <x:v>228.4</x:v>
      </x:c>
      <x:c r="G21" s="48" t="n">
        <x:v>49.2</x:v>
      </x:c>
      <x:c r="H21" s="48" t="n">
        <x:v>179.3</x:v>
      </x:c>
      <x:c r="I21" s="48" t="n">
        <x:v>160.2</x:v>
      </x:c>
      <x:c r="J21" s="48" t="n">
        <x:v>7.6</x:v>
      </x:c>
      <x:c r="K21" s="48" t="n">
        <x:v>152.6</x:v>
      </x:c>
      <x:c r="L21" s="54" t="n">
        <x:v>5013</x:v>
      </x:c>
      <x:c r="M21" s="54" t="n">
        <x:v>31125</x:v>
      </x:c>
      <x:c r="N21" s="54" t="n">
        <x:v>1005915</x:v>
      </x:c>
      <x:c r="O21" s="54" t="n">
        <x:v>25624</x:v>
      </x:c>
      <x:c r="P21" s="54" t="n">
        <x:v>237126</x:v>
      </x:c>
      <x:c r="Q21" s="54" t="n">
        <x:v>29995</x:v>
      </x:c>
      <x:c r="R21" s="54" t="n">
        <x:v>3393</x:v>
      </x:c>
      <x:c r="S21" s="48" t="n">
        <x:v>4789.4</x:v>
      </x:c>
      <x:c r="T21" s="53" t="str">
        <x:v>NBS 2025 Tables 2-5; 6-18; 8-10; 12-15; 16-13; 16-39</x:v>
      </x:c>
      <x:c r="U21" s="53" t="str">
        <x:v>official public data; manually transcribed and double-checked</x:v>
      </x:c>
      <x:c r="V21" s="53" t="str">
        <x:v>Values retain the units printed by NBS; component totals can differ by 0.1 because the source is rounded to one decimal place.</x:v>
      </x:c>
    </x:row>
    <x:row r="22" ht="34" hidden="0" customHeight="1">
      <x:c r="A22" s="48" t="str">
        <x:v>CN-HI</x:v>
      </x:c>
      <x:c r="B22" s="48" t="str">
        <x:v>Hainan</x:v>
      </x:c>
      <x:c r="C22" s="48" t="str">
        <x:v>海南</x:v>
      </x:c>
      <x:c r="D22" s="48" t="n">
        <x:v>2024</x:v>
      </x:c>
      <x:c r="E22" s="48" t="n">
        <x:v>181.4</x:v>
      </x:c>
      <x:c r="F22" s="48" t="n">
        <x:v>131.9</x:v>
      </x:c>
      <x:c r="G22" s="48" t="n">
        <x:v>101.3</x:v>
      </x:c>
      <x:c r="H22" s="48" t="n">
        <x:v>30.6</x:v>
      </x:c>
      <x:c r="I22" s="48" t="n">
        <x:v>49.5</x:v>
      </x:c>
      <x:c r="J22" s="48" t="n">
        <x:v>1.1</x:v>
      </x:c>
      <x:c r="K22" s="48" t="n">
        <x:v>48.4</x:v>
      </x:c>
      <x:c r="L22" s="54" t="n">
        <x:v>1048</x:v>
      </x:c>
      <x:c r="M22" s="54" t="n">
        <x:v>34829</x:v>
      </x:c>
      <x:c r="N22" s="54" t="n">
        <x:v>175979</x:v>
      </x:c>
      <x:c r="O22" s="54" t="n">
        <x:v>4385</x:v>
      </x:c>
      <x:c r="P22" s="54" t="n">
        <x:v>39138</x:v>
      </x:c>
      <x:c r="Q22" s="54" t="n">
        <x:v>7496</x:v>
      </x:c>
      <x:c r="R22" s="54" t="n">
        <x:v>1115</x:v>
      </x:c>
      <x:c r="S22" s="48" t="n">
        <x:v>2983.1</x:v>
      </x:c>
      <x:c r="T22" s="53" t="str">
        <x:v>NBS 2025 Tables 2-5; 6-18; 8-10; 12-15; 16-13; 16-39</x:v>
      </x:c>
      <x:c r="U22" s="53" t="str">
        <x:v>official public data; manually transcribed and double-checked</x:v>
      </x:c>
      <x:c r="V22" s="53" t="str">
        <x:v>Values retain the units printed by NBS; component totals can differ by 0.1 because the source is rounded to one decimal place.</x:v>
      </x:c>
    </x:row>
    <x:row r="23" ht="34" hidden="0" customHeight="1">
      <x:c r="A23" s="48" t="str">
        <x:v>CN-CQ</x:v>
      </x:c>
      <x:c r="B23" s="48" t="str">
        <x:v>Chongqing</x:v>
      </x:c>
      <x:c r="C23" s="48" t="str">
        <x:v>重庆</x:v>
      </x:c>
      <x:c r="D23" s="48" t="n">
        <x:v>2024</x:v>
      </x:c>
      <x:c r="E23" s="48" t="n">
        <x:v>61.2</x:v>
      </x:c>
      <x:c r="F23" s="48" t="n">
        <x:v>0</x:v>
      </x:c>
      <x:c r="G23" s="48" t="n">
        <x:v>0</x:v>
      </x:c>
      <x:c r="H23" s="48" t="n">
        <x:v>0</x:v>
      </x:c>
      <x:c r="I23" s="48" t="n">
        <x:v>61.2</x:v>
      </x:c>
      <x:c r="J23" s="48" t="n">
        <x:v>0</x:v>
      </x:c>
      <x:c r="K23" s="48" t="n">
        <x:v>61.2</x:v>
      </x:c>
      <x:c r="L23" s="54" t="n">
        <x:v>3190</x:v>
      </x:c>
      <x:c r="M23" s="54" t="n">
        <x:v>39713</x:v>
      </x:c>
      <x:c r="N23" s="54" t="n">
        <x:v>429462</x:v>
      </x:c>
      <x:c r="O23" s="54" t="n">
        <x:v>6565</x:v>
      </x:c>
      <x:c r="P23" s="54" t="n">
        <x:v>137534</x:v>
      </x:c>
      <x:c r="Q23" s="54" t="n">
        <x:v>28526</x:v>
      </x:c>
      <x:c r="R23" s="54" t="n">
        <x:v>4849</x:v>
      </x:c>
      <x:c r="S23" s="48" t="n">
        <x:v>12395.5</x:v>
      </x:c>
      <x:c r="T23" s="53" t="str">
        <x:v>NBS 2025 Tables 2-5; 6-18; 8-10; 12-15; 16-13; 16-39</x:v>
      </x:c>
      <x:c r="U23" s="53" t="str">
        <x:v>official public data; manually transcribed and double-checked</x:v>
      </x:c>
      <x:c r="V23" s="53" t="str">
        <x:v>Values retain the units printed by NBS; component totals can differ by 0.1 because the source is rounded to one decimal place.</x:v>
      </x:c>
    </x:row>
    <x:row r="24" ht="34" hidden="0" customHeight="1">
      <x:c r="A24" s="48" t="str">
        <x:v>CN-SC</x:v>
      </x:c>
      <x:c r="B24" s="48" t="str">
        <x:v>Sichuan</x:v>
      </x:c>
      <x:c r="C24" s="48" t="str">
        <x:v>四川</x:v>
      </x:c>
      <x:c r="D24" s="48" t="n">
        <x:v>2024</x:v>
      </x:c>
      <x:c r="E24" s="48" t="n">
        <x:v>187.2</x:v>
      </x:c>
      <x:c r="F24" s="48" t="n">
        <x:v>0</x:v>
      </x:c>
      <x:c r="G24" s="48" t="n">
        <x:v>0</x:v>
      </x:c>
      <x:c r="H24" s="48" t="n">
        <x:v>0</x:v>
      </x:c>
      <x:c r="I24" s="48" t="n">
        <x:v>187.2</x:v>
      </x:c>
      <x:c r="J24" s="48" t="n">
        <x:v>0</x:v>
      </x:c>
      <x:c r="K24" s="48" t="n">
        <x:v>187.2</x:v>
      </x:c>
      <x:c r="L24" s="54" t="n">
        <x:v>8364</x:v>
      </x:c>
      <x:c r="M24" s="54" t="n">
        <x:v>34325</x:v>
      </x:c>
      <x:c r="N24" s="54" t="n">
        <x:v>1473764</x:v>
      </x:c>
      <x:c r="O24" s="54" t="n">
        <x:v>21037</x:v>
      </x:c>
      <x:c r="P24" s="54" t="n">
        <x:v>206296</x:v>
      </x:c>
      <x:c r="Q24" s="54" t="n">
        <x:v>69448</x:v>
      </x:c>
      <x:c r="R24" s="54" t="n">
        <x:v>9132</x:v>
      </x:c>
      <x:c r="S24" s="48" t="n">
        <x:v>12342.5</x:v>
      </x:c>
      <x:c r="T24" s="53" t="str">
        <x:v>NBS 2025 Tables 2-5; 6-18; 8-10; 12-15; 16-13; 16-39</x:v>
      </x:c>
      <x:c r="U24" s="53" t="str">
        <x:v>official public data; manually transcribed and double-checked</x:v>
      </x:c>
      <x:c r="V24" s="53" t="str">
        <x:v>Values retain the units printed by NBS; component totals can differ by 0.1 because the source is rounded to one decimal place.</x:v>
      </x:c>
    </x:row>
    <x:row r="25" ht="34" hidden="0" customHeight="1">
      <x:c r="A25" s="48" t="str">
        <x:v>CN-GZ</x:v>
      </x:c>
      <x:c r="B25" s="48" t="str">
        <x:v>Guizhou</x:v>
      </x:c>
      <x:c r="C25" s="48" t="str">
        <x:v>贵州</x:v>
      </x:c>
      <x:c r="D25" s="48" t="n">
        <x:v>2024</x:v>
      </x:c>
      <x:c r="E25" s="48" t="n">
        <x:v>29.5</x:v>
      </x:c>
      <x:c r="F25" s="48" t="n">
        <x:v>0</x:v>
      </x:c>
      <x:c r="G25" s="48" t="n">
        <x:v>0</x:v>
      </x:c>
      <x:c r="H25" s="48" t="n">
        <x:v>0</x:v>
      </x:c>
      <x:c r="I25" s="48" t="n">
        <x:v>29.5</x:v>
      </x:c>
      <x:c r="J25" s="48" t="n">
        <x:v>0.4</x:v>
      </x:c>
      <x:c r="K25" s="48" t="n">
        <x:v>29.1</x:v>
      </x:c>
      <x:c r="L25" s="54" t="n">
        <x:v>3860</x:v>
      </x:c>
      <x:c r="M25" s="54" t="n">
        <x:v>28561</x:v>
      </x:c>
      <x:c r="N25" s="54" t="n">
        <x:v>1179543</x:v>
      </x:c>
      <x:c r="O25" s="54" t="n">
        <x:v>15993</x:v>
      </x:c>
      <x:c r="P25" s="54" t="n">
        <x:v>113446</x:v>
      </x:c>
      <x:c r="Q25" s="54" t="n">
        <x:v>19832</x:v>
      </x:c>
      <x:c r="R25" s="54" t="n">
        <x:v>2371</x:v>
      </x:c>
      <x:c r="S25" s="48" t="n">
        <x:v>5613.9</x:v>
      </x:c>
      <x:c r="T25" s="53" t="str">
        <x:v>NBS 2025 Tables 2-5; 6-18; 8-10; 12-15; 16-13; 16-39</x:v>
      </x:c>
      <x:c r="U25" s="53" t="str">
        <x:v>official public data; manually transcribed and double-checked</x:v>
      </x:c>
      <x:c r="V25" s="53" t="str">
        <x:v>Values retain the units printed by NBS; component totals can differ by 0.1 because the source is rounded to one decimal place.</x:v>
      </x:c>
    </x:row>
    <x:row r="26" ht="34" hidden="0" customHeight="1">
      <x:c r="A26" s="48" t="str">
        <x:v>CN-YN</x:v>
      </x:c>
      <x:c r="B26" s="48" t="str">
        <x:v>Yunnan</x:v>
      </x:c>
      <x:c r="C26" s="48" t="str">
        <x:v>云南</x:v>
      </x:c>
      <x:c r="D26" s="48" t="n">
        <x:v>2024</x:v>
      </x:c>
      <x:c r="E26" s="48" t="n">
        <x:v>72</x:v>
      </x:c>
      <x:c r="F26" s="48" t="n">
        <x:v>0</x:v>
      </x:c>
      <x:c r="G26" s="48" t="n">
        <x:v>0</x:v>
      </x:c>
      <x:c r="H26" s="48" t="n">
        <x:v>0</x:v>
      </x:c>
      <x:c r="I26" s="48" t="n">
        <x:v>72</x:v>
      </x:c>
      <x:c r="J26" s="48" t="n">
        <x:v>2.8</x:v>
      </x:c>
      <x:c r="K26" s="48" t="n">
        <x:v>69.2</x:v>
      </x:c>
      <x:c r="L26" s="54" t="n">
        <x:v>4655</x:v>
      </x:c>
      <x:c r="M26" s="54" t="n">
        <x:v>29932</x:v>
      </x:c>
      <x:c r="N26" s="54" t="n">
        <x:v>772366</x:v>
      </x:c>
      <x:c r="O26" s="54" t="n">
        <x:v>12081</x:v>
      </x:c>
      <x:c r="P26" s="54" t="n">
        <x:v>149114</x:v>
      </x:c>
      <x:c r="Q26" s="54" t="n">
        <x:v>26807</x:v>
      </x:c>
      <x:c r="R26" s="54" t="n">
        <x:v>3302</x:v>
      </x:c>
      <x:c r="S26" s="48" t="n">
        <x:v>2774.5</x:v>
      </x:c>
      <x:c r="T26" s="53" t="str">
        <x:v>NBS 2025 Tables 2-5; 6-18; 8-10; 12-15; 16-13; 16-39</x:v>
      </x:c>
      <x:c r="U26" s="53" t="str">
        <x:v>official public data; manually transcribed and double-checked</x:v>
      </x:c>
      <x:c r="V26" s="53" t="str">
        <x:v>Values retain the units printed by NBS; component totals can differ by 0.1 because the source is rounded to one decimal place.</x:v>
      </x:c>
    </x:row>
    <x:row r="27" ht="34" hidden="0" customHeight="1">
      <x:c r="A27" s="48" t="str">
        <x:v>CN-XZ</x:v>
      </x:c>
      <x:c r="B27" s="48" t="str">
        <x:v>Tibet</x:v>
      </x:c>
      <x:c r="C27" s="48" t="str">
        <x:v>西藏</x:v>
      </x:c>
      <x:c r="D27" s="48" t="n">
        <x:v>2024</x:v>
      </x:c>
      <x:c r="E27" s="48" t="n">
        <x:v>0.1</x:v>
      </x:c>
      <x:c r="F27" s="48" t="n">
        <x:v>0</x:v>
      </x:c>
      <x:c r="G27" s="48" t="n">
        <x:v>0</x:v>
      </x:c>
      <x:c r="H27" s="48" t="n">
        <x:v>0</x:v>
      </x:c>
      <x:c r="I27" s="48" t="n">
        <x:v>0.1</x:v>
      </x:c>
      <x:c r="J27" s="48" t="n">
        <x:v>0</x:v>
      </x:c>
      <x:c r="K27" s="48" t="n">
        <x:v>0</x:v>
      </x:c>
      <x:c r="L27" s="54" t="n">
        <x:v>370</x:v>
      </x:c>
      <x:c r="M27" s="54" t="n">
        <x:v>31358</x:v>
      </x:c>
      <x:c r="N27" s="54" t="n">
        <x:v>506406</x:v>
      </x:c>
      <x:c r="O27" s="54" t="n">
        <x:v>4228</x:v>
      </x:c>
      <x:c r="P27" s="54" t="n">
        <x:v>5167</x:v>
      </x:c>
      <x:c r="Q27" s="54" t="n">
        <x:v>2440</x:v>
      </x:c>
      <x:c r="R27" s="54" t="n">
        <x:v>278</x:v>
      </x:c>
      <x:c r="S27" s="48" t="n">
        <x:v>295.4</x:v>
      </x:c>
      <x:c r="T27" s="53" t="str">
        <x:v>NBS 2025 Tables 2-5; 6-18; 8-10; 12-15; 16-13; 16-39</x:v>
      </x:c>
      <x:c r="U27" s="53" t="str">
        <x:v>official public data; manually transcribed and double-checked</x:v>
      </x:c>
      <x:c r="V27" s="53" t="str">
        <x:v>Values retain the units printed by NBS; component totals can differ by 0.1 because the source is rounded to one decimal place.</x:v>
      </x:c>
    </x:row>
    <x:row r="28" ht="34" hidden="0" customHeight="1">
      <x:c r="A28" s="48" t="str">
        <x:v>CN-SN</x:v>
      </x:c>
      <x:c r="B28" s="48" t="str">
        <x:v>Shaanxi</x:v>
      </x:c>
      <x:c r="C28" s="48" t="str">
        <x:v>陕西</x:v>
      </x:c>
      <x:c r="D28" s="48" t="n">
        <x:v>2024</x:v>
      </x:c>
      <x:c r="E28" s="48" t="n">
        <x:v>18.7</x:v>
      </x:c>
      <x:c r="F28" s="48" t="n">
        <x:v>0</x:v>
      </x:c>
      <x:c r="G28" s="48" t="n">
        <x:v>0</x:v>
      </x:c>
      <x:c r="H28" s="48" t="n">
        <x:v>0</x:v>
      </x:c>
      <x:c r="I28" s="48" t="n">
        <x:v>18.7</x:v>
      </x:c>
      <x:c r="J28" s="48" t="n">
        <x:v>0</x:v>
      </x:c>
      <x:c r="K28" s="48" t="n">
        <x:v>18.7</x:v>
      </x:c>
      <x:c r="L28" s="54" t="n">
        <x:v>3953</x:v>
      </x:c>
      <x:c r="M28" s="54" t="n">
        <x:v>33905</x:v>
      </x:c>
      <x:c r="N28" s="54" t="n">
        <x:v>400614</x:v>
      </x:c>
      <x:c r="O28" s="54" t="n">
        <x:v>4706</x:v>
      </x:c>
      <x:c r="P28" s="54" t="n">
        <x:v>188371</x:v>
      </x:c>
      <x:c r="Q28" s="54" t="n">
        <x:v>34025</x:v>
      </x:c>
      <x:c r="R28" s="54" t="n">
        <x:v>4165</x:v>
      </x:c>
      <x:c r="S28" s="48" t="n">
        <x:v>6857.4</x:v>
      </x:c>
      <x:c r="T28" s="53" t="str">
        <x:v>NBS 2025 Tables 2-5; 6-18; 8-10; 12-15; 16-13; 16-39</x:v>
      </x:c>
      <x:c r="U28" s="53" t="str">
        <x:v>official public data; manually transcribed and double-checked</x:v>
      </x:c>
      <x:c r="V28" s="53" t="str">
        <x:v>Values retain the units printed by NBS; component totals can differ by 0.1 because the source is rounded to one decimal place.</x:v>
      </x:c>
    </x:row>
    <x:row r="29" ht="34" hidden="0" customHeight="1">
      <x:c r="A29" s="48" t="str">
        <x:v>CN-GS</x:v>
      </x:c>
      <x:c r="B29" s="48" t="str">
        <x:v>Gansu</x:v>
      </x:c>
      <x:c r="C29" s="48" t="str">
        <x:v>甘肃</x:v>
      </x:c>
      <x:c r="D29" s="48" t="n">
        <x:v>2024</x:v>
      </x:c>
      <x:c r="E29" s="48" t="n">
        <x:v>1.7</x:v>
      </x:c>
      <x:c r="F29" s="48" t="n">
        <x:v>0</x:v>
      </x:c>
      <x:c r="G29" s="48" t="n">
        <x:v>0</x:v>
      </x:c>
      <x:c r="H29" s="48" t="n">
        <x:v>0</x:v>
      </x:c>
      <x:c r="I29" s="48" t="n">
        <x:v>1.7</x:v>
      </x:c>
      <x:c r="J29" s="48" t="n">
        <x:v>0</x:v>
      </x:c>
      <x:c r="K29" s="48" t="n">
        <x:v>1.7</x:v>
      </x:c>
      <x:c r="L29" s="54" t="n">
        <x:v>2458</x:v>
      </x:c>
      <x:c r="M29" s="54" t="n">
        <x:v>26612</x:v>
      </x:c>
      <x:c r="N29" s="54" t="n">
        <x:v>920791</x:v>
      </x:c>
      <x:c r="O29" s="54" t="n">
        <x:v>6804</x:v>
      </x:c>
      <x:c r="P29" s="54" t="n">
        <x:v>84024</x:v>
      </x:c>
      <x:c r="Q29" s="54" t="n">
        <x:v>14002</x:v>
      </x:c>
      <x:c r="R29" s="54" t="n">
        <x:v>1391</x:v>
      </x:c>
      <x:c r="S29" s="48" t="n">
        <x:v>1576.3</x:v>
      </x:c>
      <x:c r="T29" s="53" t="str">
        <x:v>NBS 2025 Tables 2-5; 6-18; 8-10; 12-15; 16-13; 16-39</x:v>
      </x:c>
      <x:c r="U29" s="53" t="str">
        <x:v>official public data; manually transcribed and double-checked</x:v>
      </x:c>
      <x:c r="V29" s="53" t="str">
        <x:v>Values retain the units printed by NBS; component totals can differ by 0.1 because the source is rounded to one decimal place.</x:v>
      </x:c>
    </x:row>
    <x:row r="30" ht="34" hidden="0" customHeight="1">
      <x:c r="A30" s="48" t="str">
        <x:v>CN-QH</x:v>
      </x:c>
      <x:c r="B30" s="48" t="str">
        <x:v>Qinghai</x:v>
      </x:c>
      <x:c r="C30" s="48" t="str">
        <x:v>青海</x:v>
      </x:c>
      <x:c r="D30" s="48" t="n">
        <x:v>2024</x:v>
      </x:c>
      <x:c r="E30" s="48" t="n">
        <x:v>1.9</x:v>
      </x:c>
      <x:c r="F30" s="48" t="n">
        <x:v>0</x:v>
      </x:c>
      <x:c r="G30" s="48" t="n">
        <x:v>0</x:v>
      </x:c>
      <x:c r="H30" s="48" t="n">
        <x:v>0</x:v>
      </x:c>
      <x:c r="I30" s="48" t="n">
        <x:v>1.9</x:v>
      </x:c>
      <x:c r="J30" s="48" t="n">
        <x:v>0.4</x:v>
      </x:c>
      <x:c r="K30" s="48" t="n">
        <x:v>1.5</x:v>
      </x:c>
      <x:c r="L30" s="54" t="n">
        <x:v>593</x:v>
      </x:c>
      <x:c r="M30" s="54" t="n">
        <x:v>30117</x:v>
      </x:c>
      <x:c r="N30" s="54" t="n">
        <x:v>281929</x:v>
      </x:c>
      <x:c r="O30" s="54" t="n">
        <x:v>1456</x:v>
      </x:c>
      <x:c r="P30" s="54" t="n">
        <x:v>21137</x:v>
      </x:c>
      <x:c r="Q30" s="54" t="n">
        <x:v>3147</x:v>
      </x:c>
      <x:c r="R30" s="54" t="n">
        <x:v>359</x:v>
      </x:c>
      <x:c r="S30" s="48" t="n">
        <x:v>380.8</x:v>
      </x:c>
      <x:c r="T30" s="53" t="str">
        <x:v>NBS 2025 Tables 2-5; 6-18; 8-10; 12-15; 16-13; 16-39</x:v>
      </x:c>
      <x:c r="U30" s="53" t="str">
        <x:v>official public data; manually transcribed and double-checked</x:v>
      </x:c>
      <x:c r="V30" s="53" t="str">
        <x:v>Values retain the units printed by NBS; component totals can differ by 0.1 because the source is rounded to one decimal place.</x:v>
      </x:c>
    </x:row>
    <x:row r="31" ht="34" hidden="0" customHeight="1">
      <x:c r="A31" s="48" t="str">
        <x:v>CN-NX</x:v>
      </x:c>
      <x:c r="B31" s="48" t="str">
        <x:v>Ningxia</x:v>
      </x:c>
      <x:c r="C31" s="48" t="str">
        <x:v>宁夏</x:v>
      </x:c>
      <x:c r="D31" s="48" t="n">
        <x:v>2024</x:v>
      </x:c>
      <x:c r="E31" s="48" t="n">
        <x:v>17.9</x:v>
      </x:c>
      <x:c r="F31" s="48" t="n">
        <x:v>0</x:v>
      </x:c>
      <x:c r="G31" s="48" t="n">
        <x:v>0</x:v>
      </x:c>
      <x:c r="H31" s="48" t="n">
        <x:v>0</x:v>
      </x:c>
      <x:c r="I31" s="48" t="n">
        <x:v>17.9</x:v>
      </x:c>
      <x:c r="J31" s="48" t="n">
        <x:v>0.7</x:v>
      </x:c>
      <x:c r="K31" s="48" t="n">
        <x:v>17.2</x:v>
      </x:c>
      <x:c r="L31" s="54" t="n">
        <x:v>729</x:v>
      </x:c>
      <x:c r="M31" s="54" t="n">
        <x:v>33355</x:v>
      </x:c>
      <x:c r="N31" s="54" t="n">
        <x:v>263736</x:v>
      </x:c>
      <x:c r="O31" s="54" t="n">
        <x:v>2469</x:v>
      </x:c>
      <x:c r="P31" s="54" t="n">
        <x:v>57966</x:v>
      </x:c>
      <x:c r="Q31" s="54" t="n">
        <x:v>4903</x:v>
      </x:c>
      <x:c r="R31" s="54" t="n">
        <x:v>541</x:v>
      </x:c>
      <x:c r="S31" s="48" t="n">
        <x:v>1015.2</x:v>
      </x:c>
      <x:c r="T31" s="53" t="str">
        <x:v>NBS 2025 Tables 2-5; 6-18; 8-10; 12-15; 16-13; 16-39</x:v>
      </x:c>
      <x:c r="U31" s="53" t="str">
        <x:v>official public data; manually transcribed and double-checked</x:v>
      </x:c>
      <x:c r="V31" s="53" t="str">
        <x:v>Values retain the units printed by NBS; component totals can differ by 0.1 because the source is rounded to one decimal place.</x:v>
      </x:c>
    </x:row>
    <x:row r="32" ht="34" hidden="0" customHeight="1">
      <x:c r="A32" s="48" t="str">
        <x:v>CN-XJ</x:v>
      </x:c>
      <x:c r="B32" s="48" t="str">
        <x:v>Xinjiang</x:v>
      </x:c>
      <x:c r="C32" s="48" t="str">
        <x:v>新疆</x:v>
      </x:c>
      <x:c r="D32" s="48" t="n">
        <x:v>2024</x:v>
      </x:c>
      <x:c r="E32" s="48" t="n">
        <x:v>19.3</x:v>
      </x:c>
      <x:c r="F32" s="48" t="n">
        <x:v>0</x:v>
      </x:c>
      <x:c r="G32" s="48" t="n">
        <x:v>0</x:v>
      </x:c>
      <x:c r="H32" s="48" t="n">
        <x:v>0</x:v>
      </x:c>
      <x:c r="I32" s="48" t="n">
        <x:v>19.3</x:v>
      </x:c>
      <x:c r="J32" s="48" t="n">
        <x:v>1.4</x:v>
      </x:c>
      <x:c r="K32" s="48" t="n">
        <x:v>17.9</x:v>
      </x:c>
      <x:c r="L32" s="54" t="n">
        <x:v>2623</x:v>
      </x:c>
      <x:c r="M32" s="54" t="n">
        <x:v>30899</x:v>
      </x:c>
      <x:c r="N32" s="54" t="n">
        <x:v>704744</x:v>
      </x:c>
      <x:c r="O32" s="54" t="n">
        <x:v>6294</x:v>
      </x:c>
      <x:c r="P32" s="54" t="n">
        <x:v>111618</x:v>
      </x:c>
      <x:c r="Q32" s="54" t="n">
        <x:v>22133</x:v>
      </x:c>
      <x:c r="R32" s="54" t="n">
        <x:v>1970</x:v>
      </x:c>
      <x:c r="S32" s="48" t="n">
        <x:v>4876.2</x:v>
      </x:c>
      <x:c r="T32" s="53" t="str">
        <x:v>NBS 2025 Tables 2-5; 6-18; 8-10; 12-15; 16-13; 16-39</x:v>
      </x:c>
      <x:c r="U32" s="53" t="str">
        <x:v>official public data; manually transcribed and double-checked</x:v>
      </x:c>
      <x:c r="V32" s="53" t="str">
        <x:v>Values retain the units printed by NBS; component totals can differ by 0.1 because the source is rounded to one decimal place.</x:v>
      </x:c>
    </x:row>
  </x:sheetData>
  <x:pageMargins left="0.7" right="0.7" top="0.75" bottom="0.75" header="0.3" footer="0.3"/>
  <x:tableParts count="1">
    <x:tablePart xmlns:r="http://schemas.openxmlformats.org/officeDocument/2006/relationships" r:id="R75bf546fd4b049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18" hidden="0" customWidth="1"/>
    <x:col min="5" max="5" width="24" hidden="0" customWidth="1"/>
    <x:col min="6" max="6" width="18" hidden="0" customWidth="1"/>
    <x:col min="7" max="7" width="58" hidden="0" customWidth="1"/>
  </x:cols>
  <x:sheetData>
    <x:row r="1" ht="42" hidden="0" customHeight="1">
      <x:c r="A1" s="52" t="str">
        <x:v>metric</x:v>
      </x:c>
      <x:c r="B1" s="52" t="str">
        <x:v>province_sum</x:v>
      </x:c>
      <x:c r="C1" s="52" t="str">
        <x:v>national_printed_value</x:v>
      </x:c>
      <x:c r="D1" s="52" t="str">
        <x:v>difference</x:v>
      </x:c>
      <x:c r="E1" s="52" t="str">
        <x:v>allowed_absolute_difference</x:v>
      </x:c>
      <x:c r="F1" s="52" t="str">
        <x:v>result</x:v>
      </x:c>
      <x:c r="G1" s="52" t="str">
        <x:v>difference_explanation</x:v>
      </x:c>
    </x:row>
    <x:row r="2" ht="32" hidden="0" customHeight="1">
      <x:c r="A2" s="48" t="str">
        <x:v>aquatic_total</x:v>
      </x:c>
      <x:c r="B2" s="48" t="n">
        <x:v>7357.7</x:v>
      </x:c>
      <x:c r="C2" s="48" t="n">
        <x:v>7357.6</x:v>
      </x:c>
      <x:c r="D2" s="48" t="n">
        <x:v>0.0999999999994543</x:v>
      </x:c>
      <x:c r="E2" s="48" t="n">
        <x:v>0.31</x:v>
      </x:c>
      <x:c r="F2" s="48" t="str">
        <x:v>PASS</x:v>
      </x:c>
      <x:c r="G2" s="53" t="str">
        <x:v>rounding</x:v>
      </x:c>
    </x:row>
    <x:row r="3" ht="32" hidden="0" customHeight="1">
      <x:c r="A3" s="48" t="str">
        <x:v>marine_total</x:v>
      </x:c>
      <x:c r="B3" s="48" t="n">
        <x:v>3708.9000000000005</x:v>
      </x:c>
      <x:c r="C3" s="48" t="n">
        <x:v>3708.9</x:v>
      </x:c>
      <x:c r="D3" s="48" t="n">
        <x:v>4.547473508864641e-13</x:v>
      </x:c>
      <x:c r="E3" s="48" t="n">
        <x:v>0.31</x:v>
      </x:c>
      <x:c r="F3" s="48" t="str">
        <x:v>PASS</x:v>
      </x:c>
      <x:c r="G3" s="53" t="str">
        <x:v>rounding</x:v>
      </x:c>
    </x:row>
    <x:row r="4" ht="32" hidden="0" customHeight="1">
      <x:c r="A4" s="48" t="str">
        <x:v>marine_capture</x:v>
      </x:c>
      <x:c r="B4" s="48" t="n">
        <x:v>1181.4</x:v>
      </x:c>
      <x:c r="C4" s="48" t="n">
        <x:v>1181.2</x:v>
      </x:c>
      <x:c r="D4" s="48" t="n">
        <x:v>0.20000000000004547</x:v>
      </x:c>
      <x:c r="E4" s="48" t="n">
        <x:v>0.31</x:v>
      </x:c>
      <x:c r="F4" s="48" t="str">
        <x:v>PASS</x:v>
      </x:c>
      <x:c r="G4" s="53" t="str">
        <x:v>rounding</x:v>
      </x:c>
    </x:row>
    <x:row r="5" ht="32" hidden="0" customHeight="1">
      <x:c r="A5" s="48" t="str">
        <x:v>marine_aquaculture</x:v>
      </x:c>
      <x:c r="B5" s="48" t="n">
        <x:v>2527.6</x:v>
      </x:c>
      <x:c r="C5" s="48" t="n">
        <x:v>2527.6</x:v>
      </x:c>
      <x:c r="D5" s="48" t="n">
        <x:v>0</x:v>
      </x:c>
      <x:c r="E5" s="48" t="n">
        <x:v>0.31</x:v>
      </x:c>
      <x:c r="F5" s="48" t="str">
        <x:v>PASS</x:v>
      </x:c>
      <x:c r="G5" s="53" t="str">
        <x:v>rounding</x:v>
      </x:c>
    </x:row>
    <x:row r="6" ht="32" hidden="0" customHeight="1">
      <x:c r="A6" s="48" t="str">
        <x:v>freshwater_total</x:v>
      </x:c>
      <x:c r="B6" s="48" t="n">
        <x:v>3648.7999999999997</x:v>
      </x:c>
      <x:c r="C6" s="48" t="n">
        <x:v>3648.7</x:v>
      </x:c>
      <x:c r="D6" s="48" t="n">
        <x:v>0.09999999999990905</x:v>
      </x:c>
      <x:c r="E6" s="48" t="n">
        <x:v>0.31</x:v>
      </x:c>
      <x:c r="F6" s="48" t="str">
        <x:v>PASS</x:v>
      </x:c>
      <x:c r="G6" s="53" t="str">
        <x:v>rounding</x:v>
      </x:c>
    </x:row>
    <x:row r="7" ht="32" hidden="0" customHeight="1">
      <x:c r="A7" s="48" t="str">
        <x:v>freshwater_capture</x:v>
      </x:c>
      <x:c r="B7" s="48" t="n">
        <x:v>116.00000000000001</x:v>
      </x:c>
      <x:c r="C7" s="48" t="n">
        <x:v>116.3</x:v>
      </x:c>
      <x:c r="D7" s="48" t="n">
        <x:v>-0.29999999999998295</x:v>
      </x:c>
      <x:c r="E7" s="48" t="n">
        <x:v>0.31</x:v>
      </x:c>
      <x:c r="F7" s="48" t="str">
        <x:v>PASS</x:v>
      </x:c>
      <x:c r="G7" s="53" t="str">
        <x:v>rounding</x:v>
      </x:c>
    </x:row>
    <x:row r="8" ht="32" hidden="0" customHeight="1">
      <x:c r="A8" s="48" t="str">
        <x:v>freshwater_aquaculture</x:v>
      </x:c>
      <x:c r="B8" s="48" t="n">
        <x:v>3532.499999999999</x:v>
      </x:c>
      <x:c r="C8" s="48" t="n">
        <x:v>3532.4</x:v>
      </x:c>
      <x:c r="D8" s="48" t="n">
        <x:v>0.09999999999899956</x:v>
      </x:c>
      <x:c r="E8" s="48" t="n">
        <x:v>0.31</x:v>
      </x:c>
      <x:c r="F8" s="48" t="str">
        <x:v>PASS</x:v>
      </x:c>
      <x:c r="G8" s="53" t="str">
        <x:v>rounding</x:v>
      </x:c>
    </x:row>
    <x:row r="9" ht="32" hidden="0" customHeight="1">
      <x:c r="A9" s="48" t="str">
        <x:v>population</x:v>
      </x:c>
      <x:c r="B9" s="48" t="n">
        <x:v>140628</x:v>
      </x:c>
      <x:c r="C9" s="48" t="n">
        <x:v>140828</x:v>
      </x:c>
      <x:c r="D9" s="48" t="n">
        <x:v>-200</x:v>
      </x:c>
      <x:c r="E9" s="48" t="n">
        <x:v>200</x:v>
      </x:c>
      <x:c r="F9" s="48" t="str">
        <x:v>PASS</x:v>
      </x:c>
      <x:c r="G9" s="53" t="str">
        <x:v>national includes 2 million military personnel excluded from province rows</x:v>
      </x:c>
    </x:row>
    <x:row r="10" ht="32" hidden="0" customHeight="1">
      <x:c r="A10" s="48" t="str">
        <x:v>wastewater_cod</x:v>
      </x:c>
      <x:c r="B10" s="48" t="n">
        <x:v>27998826</x:v>
      </x:c>
      <x:c r="C10" s="48" t="n">
        <x:v>27998827</x:v>
      </x:c>
      <x:c r="D10" s="48" t="n">
        <x:v>-1</x:v>
      </x:c>
      <x:c r="E10" s="48" t="n">
        <x:v>1</x:v>
      </x:c>
      <x:c r="F10" s="48" t="str">
        <x:v>PASS</x:v>
      </x:c>
      <x:c r="G10" s="53" t="str">
        <x:v>printed whole-number rounding</x:v>
      </x:c>
    </x:row>
    <x:row r="11" ht="32" hidden="0" customHeight="1">
      <x:c r="A11" s="48" t="str">
        <x:v>wastewater_total_phosphorus</x:v>
      </x:c>
      <x:c r="B11" s="48" t="n">
        <x:v>390478</x:v>
      </x:c>
      <x:c r="C11" s="48" t="n">
        <x:v>390481</x:v>
      </x:c>
      <x:c r="D11" s="48" t="n">
        <x:v>-3</x:v>
      </x:c>
      <x:c r="E11" s="48" t="n">
        <x:v>3</x:v>
      </x:c>
      <x:c r="F11" s="48" t="str">
        <x:v>PASS</x:v>
      </x:c>
      <x:c r="G11" s="53" t="str">
        <x:v>printed whole-number rounding</x:v>
      </x:c>
    </x:row>
    <x:row r="12" ht="32" hidden="0" customHeight="1">
      <x:c r="A12" s="48" t="str">
        <x:v>freight_total</x:v>
      </x:c>
      <x:c r="B12" s="48" t="n">
        <x:v>5686553</x:v>
      </x:c>
      <x:c r="C12" s="48" t="n">
        <x:v>5783625</x:v>
      </x:c>
      <x:c r="D12" s="48" t="n">
        <x:v>-97072</x:v>
      </x:c>
      <x:c r="E12" s="48" t="n">
        <x:v>97072</x:v>
      </x:c>
      <x:c r="F12" s="48" t="str">
        <x:v>PASS</x:v>
      </x:c>
      <x:c r="G12" s="53" t="str">
        <x:v>national includes 97,072 not classified by region</x:v>
      </x:c>
    </x:row>
    <x:row r="13" ht="32" hidden="0" customHeight="1">
      <x:c r="A13" s="48" t="str">
        <x:v>enterprises</x:v>
      </x:c>
      <x:c r="B13" s="48" t="n">
        <x:v>1605346</x:v>
      </x:c>
      <x:c r="C13" s="48" t="n">
        <x:v>1605346</x:v>
      </x:c>
      <x:c r="D13" s="48" t="n">
        <x:v>0</x:v>
      </x:c>
      <x:c r="E13" s="48" t="n">
        <x:v>0</x:v>
      </x:c>
      <x:c r="F13" s="48" t="str">
        <x:v>PASS</x:v>
      </x:c>
      <x:c r="G13" s="53" t="str">
        <x:v>exact reconciliation</x:v>
      </x:c>
    </x:row>
    <x:row r="14" ht="32" hidden="0" customHeight="1">
      <x:c r="A14" s="48" t="str">
        <x:v>ecommerce_enterprises</x:v>
      </x:c>
      <x:c r="B14" s="48" t="n">
        <x:v>205026</x:v>
      </x:c>
      <x:c r="C14" s="48" t="n">
        <x:v>205026</x:v>
      </x:c>
      <x:c r="D14" s="48" t="n">
        <x:v>0</x:v>
      </x:c>
      <x:c r="E14" s="48" t="n">
        <x:v>0</x:v>
      </x:c>
      <x:c r="F14" s="48" t="str">
        <x:v>PASS</x:v>
      </x:c>
      <x:c r="G14" s="53" t="str">
        <x:v>exact reconciliation</x:v>
      </x:c>
    </x:row>
    <x:row r="15" ht="32" hidden="0" customHeight="1">
      <x:c r="A15" s="48" t="str">
        <x:v>ecommerce_sales</x:v>
      </x:c>
      <x:c r="B15" s="48" t="n">
        <x:v>386543.80000000005</x:v>
      </x:c>
      <x:c r="C15" s="48" t="n">
        <x:v>386544</x:v>
      </x:c>
      <x:c r="D15" s="48" t="n">
        <x:v>-0.19999999995343387</x:v>
      </x:c>
      <x:c r="E15" s="48" t="n">
        <x:v>0.21</x:v>
      </x:c>
      <x:c r="F15" s="48" t="str">
        <x:v>PASS</x:v>
      </x:c>
      <x:c r="G15" s="53" t="str">
        <x:v>one-decimal rounding</x:v>
      </x:c>
    </x:row>
  </x:sheetData>
  <x:pageMargins left="0.7" right="0.7" top="0.75" bottom="0.75" header="0.3" footer="0.3"/>
  <x:tableParts count="1">
    <x:tablePart xmlns:r="http://schemas.openxmlformats.org/officeDocument/2006/relationships" r:id="R6caa926501c848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66" hidden="0" customWidth="1"/>
    <x:col min="4" max="4" width="48" hidden="0" customWidth="1"/>
    <x:col min="5" max="5" width="24" hidden="0" customWidth="1"/>
    <x:col min="6" max="6" width="62" hidden="0" customWidth="1"/>
  </x:cols>
  <x:sheetData>
    <x:row r="1" ht="42" hidden="0" customHeight="1">
      <x:c r="A1" s="52" t="str">
        <x:v>step</x:v>
      </x:c>
      <x:c r="B1" s="52" t="str">
        <x:v>output</x:v>
      </x:c>
      <x:c r="C1" s="52" t="str">
        <x:v>formula</x:v>
      </x:c>
      <x:c r="D1" s="52" t="str">
        <x:v>inputs</x:v>
      </x:c>
      <x:c r="E1" s="52" t="str">
        <x:v>evidence_class</x:v>
      </x:c>
      <x:c r="F1" s="52" t="str">
        <x:v>limitation</x:v>
      </x:c>
    </x:row>
    <x:row r="2" ht="48" hidden="0" customHeight="1">
      <x:c r="A2" s="48" t="n">
        <x:v>1</x:v>
      </x:c>
      <x:c r="B2" s="53" t="str">
        <x:v>official_2024_sector_tonnes</x:v>
      </x:c>
      <x:c r="C2" s="53" t="str">
        <x:v>NBS Table 12-15 value x 10,000</x:v>
      </x:c>
      <x:c r="D2" s="53" t="str">
        <x:v>six official NBS province tables</x:v>
      </x:c>
      <x:c r="E2" s="53" t="str">
        <x:v>official public data</x:v>
      </x:c>
      <x:c r="F2" s="53" t="str">
        <x:v>2024 replacement evidence; not the historical model workbook</x:v>
      </x:c>
    </x:row>
    <x:row r="3" ht="48" hidden="0" customHeight="1">
      <x:c r="A3" s="48" t="n">
        <x:v>2</x:v>
      </x:c>
      <x:c r="B3" s="53" t="str">
        <x:v>paper_calibrated_sector_tonnes</x:v>
      </x:c>
      <x:c r="C3" s="53" t="str">
        <x:v>official sector tonnes x 71,161,716 / official 31-province sector sum</x:v>
      </x:c>
      <x:c r="D3" s="53" t="str">
        <x:v>NBS 2024 sector pattern + paper Table 3 total</x:v>
      </x:c>
      <x:c r="E3" s="53" t="str">
        <x:v>processed/calibrated</x:v>
      </x:c>
      <x:c r="F3" s="53" t="str">
        <x:v>Assumes the 2024 spatial-sector pattern is an acceptable proxy for 2023</x:v>
      </x:c>
    </x:row>
    <x:row r="4" ht="48" hidden="0" customHeight="1">
      <x:c r="A4" s="48" t="n">
        <x:v>3</x:v>
      </x:c>
      <x:c r="B4" s="53" t="str">
        <x:v>baseline_sector_mode_processed_tonnes</x:v>
      </x:c>
      <x:c r="C4" s="53" t="str">
        <x:v>calibrated sector tonnes x declared fresh/deep mode share</x:v>
      </x:c>
      <x:c r="D4" s="53" t="str">
        <x:v>step 2 + four stated mode splits</x:v>
      </x:c>
      <x:c r="E4" s="53" t="str">
        <x:v>processed/calibrated</x:v>
      </x:c>
      <x:c r="F4" s="53" t="str">
        <x:v>Province-by-mode historical data are unavailable</x:v>
      </x:c>
    </x:row>
    <x:row r="5" ht="48" hidden="0" customHeight="1">
      <x:c r="A5" s="48" t="n">
        <x:v>4</x:v>
      </x:c>
      <x:c r="B5" s="53" t="str">
        <x:v>upper_bound_processed_tonnes</x:v>
      </x:c>
      <x:c r="C5" s="53" t="str">
        <x:v>1.20 x baseline sector-mode tonnes</x:v>
      </x:c>
      <x:c r="D5" s="53" t="str">
        <x:v>step 3</x:v>
      </x:c>
      <x:c r="E5" s="53" t="str">
        <x:v>processed/calibrated</x:v>
      </x:c>
      <x:c r="F5" s="53" t="str">
        <x:v>The 20% headroom is a public-surrogate modelling choice</x:v>
      </x:c>
    </x:row>
    <x:row r="6" ht="48" hidden="0" customHeight="1">
      <x:c r="A6" s="48" t="n">
        <x:v>5</x:v>
      </x:c>
      <x:c r="B6" s="53" t="str">
        <x:v>digital_index_processed</x:v>
      </x:c>
      <x:c r="C6" s="53" t="str">
        <x:v>0.25 + 0.70 x weighted min-max e-commerce composite</x:v>
      </x:c>
      <x:c r="D6" s="53" t="str">
        <x:v>NBS enterprise counts and e-commerce sales</x:v>
      </x:c>
      <x:c r="E6" s="53" t="str">
        <x:v>processed proxy</x:v>
      </x:c>
      <x:c r="F6" s="53" t="str">
        <x:v>External enterprise proxy; not the paper's unreleased fishery EWM index</x:v>
      </x:c>
    </x:row>
    <x:row r="7" ht="48" hidden="0" customHeight="1">
      <x:c r="A7" s="48" t="n">
        <x:v>6</x:v>
      </x:c>
      <x:c r="B7" s="53" t="str">
        <x:v>economic/social multipliers</x:v>
      </x:c>
      <x:c r="C7" s="53" t="str">
        <x:v>income / national average and its inverse; clipped</x:v>
      </x:c>
      <x:c r="D7" s="53" t="str">
        <x:v>NBS per-capita disposable income</x:v>
      </x:c>
      <x:c r="E7" s="53" t="str">
        <x:v>processed proxy</x:v>
      </x:c>
      <x:c r="F7" s="53" t="str">
        <x:v>Household income is not a fishery-specific wage series</x:v>
      </x:c>
    </x:row>
    <x:row r="8" ht="48" hidden="0" customHeight="1">
      <x:c r="A8" s="48" t="n">
        <x:v>7</x:v>
      </x:c>
      <x:c r="B8" s="53" t="str">
        <x:v>ecological_pressure_index_processed</x:v>
      </x:c>
      <x:c r="C8" s="53" t="str">
        <x:v>min-max log of (COD + 20 x phosphorus) per population</x:v>
      </x:c>
      <x:c r="D8" s="53" t="str">
        <x:v>NBS preliminary wastewater and population data</x:v>
      </x:c>
      <x:c r="E8" s="53" t="str">
        <x:v>processed proxy</x:v>
      </x:c>
      <x:c r="F8" s="53" t="str">
        <x:v>General wastewater pressure is not fishery habitat condition</x:v>
      </x:c>
    </x:row>
    <x:row r="9" ht="48" hidden="0" customHeight="1">
      <x:c r="A9" s="48" t="n">
        <x:v>8</x:v>
      </x:c>
      <x:c r="B9" s="53" t="str">
        <x:v>freight/cold-chain fields</x:v>
      </x:c>
      <x:c r="C9" s="53" t="str">
        <x:v>log-minmax freight; production x (0.18 + 0.22 x freight index)</x:v>
      </x:c>
      <x:c r="D9" s="53" t="str">
        <x:v>NBS freight + calibrated production</x:v>
      </x:c>
      <x:c r="E9" s="53" t="str">
        <x:v>processed proxy</x:v>
      </x:c>
      <x:c r="F9" s="53" t="str">
        <x:v>Freight is economy-wide and cold-chain capacity remains inferred</x:v>
      </x:c>
    </x:row>
    <x:row r="10" ht="48" hidden="0" customHeight="1">
      <x:c r="A10" s="48" t="n">
        <x:v>9</x:v>
      </x:c>
      <x:c r="B10" s="53" t="str">
        <x:v>workforce/power fields</x:v>
      </x:c>
      <x:c r="C10" s="53" t="str">
        <x:v>national anchors distributed by disclosed weights</x:v>
      </x:c>
      <x:c r="D10" s="53" t="str">
        <x:v>paper/MOA anchors + public production and population</x:v>
      </x:c>
      <x:c r="E10" s="53" t="str">
        <x:v>processed proxy</x:v>
      </x:c>
      <x:c r="F10" s="53" t="str">
        <x:v>No original province allocation file was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d05effba179d40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2" hidden="0" customWidth="1"/>
    <x:col min="5" max="5" width="10" hidden="0" customWidth="1"/>
    <x:col min="6" max="6" width="22" hidden="0" customWidth="1"/>
    <x:col min="7" max="7" width="23" hidden="0" customWidth="1"/>
    <x:col min="8" max="8" width="25" hidden="0" customWidth="1"/>
    <x:col min="9" max="9" width="26" hidden="0" customWidth="1"/>
    <x:col min="10" max="10" width="28" hidden="0" customWidth="1"/>
    <x:col min="11" max="11" width="22" hidden="0" customWidth="1"/>
    <x:col min="12" max="12" width="22" hidden="0" customWidth="1"/>
    <x:col min="13" max="13" width="22" hidden="0" customWidth="1"/>
    <x:col min="14" max="14" width="24" hidden="0" customWidth="1"/>
    <x:col min="15" max="15" width="22" hidden="0" customWidth="1"/>
    <x:col min="16" max="16" width="20" hidden="0" customWidth="1"/>
    <x:col min="17" max="17" width="26" hidden="0" customWidth="1"/>
    <x:col min="18" max="18" width="24" hidden="0" customWidth="1"/>
    <x:col min="19" max="19" width="24" hidden="0" customWidth="1"/>
    <x:col min="20" max="20" width="20" hidden="0" customWidth="1"/>
    <x:col min="21" max="21" width="22" hidden="0" customWidth="1"/>
    <x:col min="22" max="22" width="20" hidden="0" customWidth="1"/>
    <x:col min="23" max="23" width="22" hidden="0" customWidth="1"/>
    <x:col min="24" max="24" width="24" hidden="0" customWidth="1"/>
    <x:col min="25" max="25" width="26" hidden="0" customWidth="1"/>
    <x:col min="26" max="26" width="20" hidden="0" customWidth="1"/>
    <x:col min="27" max="27" width="24" hidden="0" customWidth="1"/>
    <x:col min="28" max="28" width="24" hidden="0" customWidth="1"/>
    <x:col min="29" max="29" width="24" hidden="0" customWidth="1"/>
    <x:col min="30" max="30" width="48" hidden="0" customWidth="1"/>
    <x:col min="31" max="31" width="44" hidden="0" customWidth="1"/>
    <x:col min="32" max="32" width="42" hidden="0" customWidth="1"/>
  </x:cols>
  <x:sheetData>
    <x:row r="1" ht="42" hidden="0" customHeight="1">
      <x:c r="A1" s="52" t="str">
        <x:v>region_id</x:v>
      </x:c>
      <x:c r="B1" s="52" t="str">
        <x:v>province_code</x:v>
      </x:c>
      <x:c r="C1" s="52" t="str">
        <x:v>province_en</x:v>
      </x:c>
      <x:c r="D1" s="52" t="str">
        <x:v>province_zh</x:v>
      </x:c>
      <x:c r="E1" s="52" t="str">
        <x:v>year</x:v>
      </x:c>
      <x:c r="F1" s="52" t="str">
        <x:v>aquatic_total_official_10000_t</x:v>
      </x:c>
      <x:c r="G1" s="52" t="str">
        <x:v>marine_capture_official_10000_t</x:v>
      </x:c>
      <x:c r="H1" s="52" t="str">
        <x:v>freshwater_capture_official_10000_t</x:v>
      </x:c>
      <x:c r="I1" s="52" t="str">
        <x:v>marine_aquaculture_official_10000_t</x:v>
      </x:c>
      <x:c r="J1" s="52" t="str">
        <x:v>freshwater_aquaculture_official_10000_t</x:v>
      </x:c>
      <x:c r="K1" s="52" t="str">
        <x:v>population_official_10000_persons</x:v>
      </x:c>
      <x:c r="L1" s="52" t="str">
        <x:v>disposable_income_official_yuan</x:v>
      </x:c>
      <x:c r="M1" s="52" t="str">
        <x:v>wastewater_cod_official_tonnes</x:v>
      </x:c>
      <x:c r="N1" s="52" t="str">
        <x:v>wastewater_phosphorus_official_tonnes</x:v>
      </x:c>
      <x:c r="O1" s="52" t="str">
        <x:v>freight_official_10000_tonnes</x:v>
      </x:c>
      <x:c r="P1" s="52" t="str">
        <x:v>enterprises_official_units</x:v>
      </x:c>
      <x:c r="Q1" s="52" t="str">
        <x:v>ecommerce_enterprises_official_units</x:v>
      </x:c>
      <x:c r="R1" s="52" t="str">
        <x:v>ecommerce_sales_official_100m_yuan</x:v>
      </x:c>
      <x:c r="S1" s="52" t="str">
        <x:v>ecommerce_adoption_rate_processed</x:v>
      </x:c>
      <x:c r="T1" s="52" t="str">
        <x:v>region_share_processed</x:v>
      </x:c>
      <x:c r="U1" s="52" t="str">
        <x:v>paper_2023_calibration_factor</x:v>
      </x:c>
      <x:c r="V1" s="52" t="str">
        <x:v>digital_index_processed</x:v>
      </x:c>
      <x:c r="W1" s="52" t="str">
        <x:v>income_multiplier_processed</x:v>
      </x:c>
      <x:c r="X1" s="52" t="str">
        <x:v>social_need_multiplier_processed</x:v>
      </x:c>
      <x:c r="Y1" s="52" t="str">
        <x:v>ecological_pressure_index_processed</x:v>
      </x:c>
      <x:c r="Z1" s="52" t="str">
        <x:v>freight_index_processed</x:v>
      </x:c>
      <x:c r="AA1" s="52" t="str">
        <x:v>workforce_processed_people</x:v>
      </x:c>
      <x:c r="AB1" s="52" t="str">
        <x:v>cold_capacity_processed_tonnes</x:v>
      </x:c>
      <x:c r="AC1" s="52" t="str">
        <x:v>power_capacity_processed_kw</x:v>
      </x:c>
      <x:c r="AD1" s="52" t="str">
        <x:v>mapping_note</x:v>
      </x:c>
      <x:c r="AE1" s="52" t="str">
        <x:v>official_data_status</x:v>
      </x:c>
      <x:c r="AF1" s="52" t="str">
        <x:v>derived_data_status</x:v>
      </x:c>
    </x:row>
    <x:row r="2" ht="36" hidden="0" customHeight="1">
      <x:c r="A2" s="48" t="str">
        <x:v>r01</x:v>
      </x:c>
      <x:c r="B2" s="48" t="str">
        <x:v>CN-BJ</x:v>
      </x:c>
      <x:c r="C2" s="48" t="str">
        <x:v>Beijing</x:v>
      </x:c>
      <x:c r="D2" s="48" t="str">
        <x:v>北京</x:v>
      </x:c>
      <x:c r="E2" s="48" t="n">
        <x:v>2024</x:v>
      </x:c>
      <x:c r="F2" s="48" t="n">
        <x:v>7.1</x:v>
      </x:c>
      <x:c r="G2" s="48" t="n">
        <x:v>5.7</x:v>
      </x:c>
      <x:c r="H2" s="48" t="n">
        <x:v>0.2</x:v>
      </x:c>
      <x:c r="I2" s="48" t="n">
        <x:v>0</x:v>
      </x:c>
      <x:c r="J2" s="48" t="n">
        <x:v>1.2</x:v>
      </x:c>
      <x:c r="K2" s="54" t="n">
        <x:v>2183</x:v>
      </x:c>
      <x:c r="L2" s="54" t="n">
        <x:v>85415</x:v>
      </x:c>
      <x:c r="M2" s="54" t="n">
        <x:v>114599</x:v>
      </x:c>
      <x:c r="N2" s="54" t="n">
        <x:v>1185</x:v>
      </x:c>
      <x:c r="O2" s="54" t="n">
        <x:v>19956</x:v>
      </x:c>
      <x:c r="P2" s="54" t="n">
        <x:v>49504</x:v>
      </x:c>
      <x:c r="Q2" s="54" t="n">
        <x:v>11528</x:v>
      </x:c>
      <x:c r="R2" s="54" t="n">
        <x:v>46980.2</x:v>
      </x:c>
      <x:c r="S2" s="55" t="n">
        <x:v>0.23287007110536523</x:v>
      </x:c>
      <x:c r="T2" s="55" t="n">
        <x:v>0.0009650016989466531</x:v>
      </x:c>
      <x:c r="U2" s="55" t="n">
        <x:v>0.9671996738022426</x:v>
      </x:c>
      <x:c r="V2" s="55" t="n">
        <x:v>0.95</x:v>
      </x:c>
      <x:c r="W2" s="55" t="n">
        <x:v>1.45</x:v>
      </x:c>
      <x:c r="X2" s="55" t="n">
        <x:v>0.65</x:v>
      </x:c>
      <x:c r="Y2" s="55" t="n">
        <x:v>0</x:v>
      </x:c>
      <x:c r="Z2" s="55" t="n">
        <x:v>0.30376755661287425</x:v>
      </x:c>
      <x:c r="AA2" s="54" t="n">
        <x:v>54160.185183365764</x:v>
      </x:c>
      <x:c r="AB2" s="54" t="n">
        <x:v>16950.02846284176</x:v>
      </x:c>
      <x:c r="AC2" s="54" t="n">
        <x:v>71141.80136614073</x:v>
      </x:c>
      <x:c r="AD2" s="53" t="str">
        <x:v>NBS standard province order assigned for reconstruction; original r-index order unavailable</x:v>
      </x:c>
      <x:c r="AE2" s="53" t="str">
        <x:v>official public 2024 NBS transcription; not historical author input</x:v>
      </x:c>
      <x:c r="AF2" s="53" t="str">
        <x:v>calibrated reconstruction; not historical author input</x:v>
      </x:c>
    </x:row>
    <x:row r="3" ht="36" hidden="0" customHeight="1">
      <x:c r="A3" s="48" t="str">
        <x:v>r02</x:v>
      </x:c>
      <x:c r="B3" s="48" t="str">
        <x:v>CN-TJ</x:v>
      </x:c>
      <x:c r="C3" s="48" t="str">
        <x:v>Tianjin</x:v>
      </x:c>
      <x:c r="D3" s="48" t="str">
        <x:v>天津</x:v>
      </x:c>
      <x:c r="E3" s="48" t="n">
        <x:v>2024</x:v>
      </x:c>
      <x:c r="F3" s="48" t="n">
        <x:v>29.9</x:v>
      </x:c>
      <x:c r="G3" s="48" t="n">
        <x:v>3.3</x:v>
      </x:c>
      <x:c r="H3" s="48" t="n">
        <x:v>0.3</x:v>
      </x:c>
      <x:c r="I3" s="48" t="n">
        <x:v>1.2</x:v>
      </x:c>
      <x:c r="J3" s="48" t="n">
        <x:v>25.1</x:v>
      </x:c>
      <x:c r="K3" s="54" t="n">
        <x:v>1364</x:v>
      </x:c>
      <x:c r="L3" s="54" t="n">
        <x:v>53581</x:v>
      </x:c>
      <x:c r="M3" s="54" t="n">
        <x:v>189195</x:v>
      </x:c>
      <x:c r="N3" s="54" t="n">
        <x:v>2054</x:v>
      </x:c>
      <x:c r="O3" s="54" t="n">
        <x:v>58602</x:v>
      </x:c>
      <x:c r="P3" s="54" t="n">
        <x:v>29626</x:v>
      </x:c>
      <x:c r="Q3" s="54" t="n">
        <x:v>2619</x:v>
      </x:c>
      <x:c r="R3" s="54" t="n">
        <x:v>8126.2</x:v>
      </x:c>
      <x:c r="S3" s="55" t="n">
        <x:v>0.08840207925470871</x:v>
      </x:c>
      <x:c r="T3" s="55" t="n">
        <x:v>0.004063880394155624</x:v>
      </x:c>
      <x:c r="U3" s="55" t="n">
        <x:v>0.9671996738022426</x:v>
      </x:c>
      <x:c r="V3" s="55" t="n">
        <x:v>0.35692644996995165</x:v>
      </x:c>
      <x:c r="W3" s="55" t="n">
        <x:v>1.2969211405334753</x:v>
      </x:c>
      <x:c r="X3" s="55" t="n">
        <x:v>0.7710569044997294</x:v>
      </x:c>
      <x:c r="Y3" s="55" t="n">
        <x:v>0.3020864039198392</x:v>
      </x:c>
      <x:c r="Z3" s="55" t="n">
        <x:v>0.545956602640144</x:v>
      </x:c>
      <x:c r="AA3" s="54" t="n">
        <x:v>64372.097385785164</x:v>
      </x:c>
      <x:c r="AB3" s="54" t="n">
        <x:v>86789.75282040631</x:v>
      </x:c>
      <x:c r="AC3" s="54" t="n">
        <x:v>57948.43772349912</x:v>
      </x:c>
      <x:c r="AD3" s="53" t="str">
        <x:v>NBS standard province order assigned for reconstruction; original r-index order unavailable</x:v>
      </x:c>
      <x:c r="AE3" s="53" t="str">
        <x:v>official public 2024 NBS transcription; not historical author input</x:v>
      </x:c>
      <x:c r="AF3" s="53" t="str">
        <x:v>calibrated reconstruction; not historical author input</x:v>
      </x:c>
    </x:row>
    <x:row r="4" ht="36" hidden="0" customHeight="1">
      <x:c r="A4" s="48" t="str">
        <x:v>r03</x:v>
      </x:c>
      <x:c r="B4" s="48" t="str">
        <x:v>CN-HE</x:v>
      </x:c>
      <x:c r="C4" s="48" t="str">
        <x:v>Hebei</x:v>
      </x:c>
      <x:c r="D4" s="48" t="str">
        <x:v>河北</x:v>
      </x:c>
      <x:c r="E4" s="48" t="n">
        <x:v>2024</x:v>
      </x:c>
      <x:c r="F4" s="48" t="n">
        <x:v>118</x:v>
      </x:c>
      <x:c r="G4" s="48" t="n">
        <x:v>22.1</x:v>
      </x:c>
      <x:c r="H4" s="48" t="n">
        <x:v>4.5</x:v>
      </x:c>
      <x:c r="I4" s="48" t="n">
        <x:v>63.3</x:v>
      </x:c>
      <x:c r="J4" s="48" t="n">
        <x:v>28.1</x:v>
      </x:c>
      <x:c r="K4" s="54" t="n">
        <x:v>7378</x:v>
      </x:c>
      <x:c r="L4" s="54" t="n">
        <x:v>34665</x:v>
      </x:c>
      <x:c r="M4" s="54" t="n">
        <x:v>1536069</x:v>
      </x:c>
      <x:c r="N4" s="54" t="n">
        <x:v>16123</x:v>
      </x:c>
      <x:c r="O4" s="54" t="n">
        <x:v>270712</x:v>
      </x:c>
      <x:c r="P4" s="54" t="n">
        <x:v>43022</x:v>
      </x:c>
      <x:c r="Q4" s="54" t="n">
        <x:v>3671</x:v>
      </x:c>
      <x:c r="R4" s="54" t="n">
        <x:v>4056.8</x:v>
      </x:c>
      <x:c r="S4" s="55" t="n">
        <x:v>0.08532843661382548</x:v>
      </x:c>
      <x:c r="T4" s="55" t="n">
        <x:v>0.016038056405028884</x:v>
      </x:c>
      <x:c r="U4" s="55" t="n">
        <x:v>0.9671996738022426</x:v>
      </x:c>
      <x:c r="V4" s="55" t="n">
        <x:v>0.27551726499480167</x:v>
      </x:c>
      <x:c r="W4" s="55" t="n">
        <x:v>0.8390618192380307</x:v>
      </x:c>
      <x:c r="X4" s="55" t="n">
        <x:v>1.191807298427809</x:v>
      </x:c>
      <x:c r="Y4" s="55" t="n">
        <x:v>0.4260619545237897</x:v>
      </x:c>
      <x:c r="Z4" s="55" t="n">
        <x:v>0.8900091437354352</x:v>
      </x:c>
      <x:c r="AA4" s="54" t="n">
        <x:v>295759.58640159277</x:v>
      </x:c>
      <x:c r="AB4" s="54" t="n">
        <x:v>428901.18800469633</x:v>
      </x:c>
      <x:c r="AC4" s="54" t="n">
        <x:v>369641.65378090704</x:v>
      </x:c>
      <x:c r="AD4" s="53" t="str">
        <x:v>NBS standard province order assigned for reconstruction; original r-index order unavailable</x:v>
      </x:c>
      <x:c r="AE4" s="53" t="str">
        <x:v>official public 2024 NBS transcription; not historical author input</x:v>
      </x:c>
      <x:c r="AF4" s="53" t="str">
        <x:v>calibrated reconstruction; not historical author input</x:v>
      </x:c>
    </x:row>
    <x:row r="5" ht="36" hidden="0" customHeight="1">
      <x:c r="A5" s="48" t="str">
        <x:v>r04</x:v>
      </x:c>
      <x:c r="B5" s="48" t="str">
        <x:v>CN-SX</x:v>
      </x:c>
      <x:c r="C5" s="48" t="str">
        <x:v>Shanxi</x:v>
      </x:c>
      <x:c r="D5" s="48" t="str">
        <x:v>山西</x:v>
      </x:c>
      <x:c r="E5" s="48" t="n">
        <x:v>2024</x:v>
      </x:c>
      <x:c r="F5" s="48" t="n">
        <x:v>5.8</x:v>
      </x:c>
      <x:c r="G5" s="48" t="n">
        <x:v>0</x:v>
      </x:c>
      <x:c r="H5" s="48" t="n">
        <x:v>0</x:v>
      </x:c>
      <x:c r="I5" s="48" t="n">
        <x:v>0</x:v>
      </x:c>
      <x:c r="J5" s="48" t="n">
        <x:v>5.8</x:v>
      </x:c>
      <x:c r="K5" s="54" t="n">
        <x:v>3446</x:v>
      </x:c>
      <x:c r="L5" s="54" t="n">
        <x:v>32441</x:v>
      </x:c>
      <x:c r="M5" s="54" t="n">
        <x:v>793400</x:v>
      </x:c>
      <x:c r="N5" s="54" t="n">
        <x:v>9288</x:v>
      </x:c>
      <x:c r="O5" s="54" t="n">
        <x:v>224552</x:v>
      </x:c>
      <x:c r="P5" s="54" t="n">
        <x:v>28985</x:v>
      </x:c>
      <x:c r="Q5" s="54" t="n">
        <x:v>2600</x:v>
      </x:c>
      <x:c r="R5" s="54" t="n">
        <x:v>6152.9</x:v>
      </x:c>
      <x:c r="S5" s="55" t="n">
        <x:v>0.08970156977747111</x:v>
      </x:c>
      <x:c r="T5" s="55" t="n">
        <x:v>0.0007883112470268434</x:v>
      </x:c>
      <x:c r="U5" s="55" t="n">
        <x:v>0.9671996738022426</x:v>
      </x:c>
      <x:c r="V5" s="55" t="n">
        <x:v>0.33646588774533553</x:v>
      </x:c>
      <x:c r="W5" s="55" t="n">
        <x:v>0.7852301883138888</x:v>
      </x:c>
      <x:c r="X5" s="55" t="n">
        <x:v>1.2735119139360687</x:v>
      </x:c>
      <x:c r="Y5" s="55" t="n">
        <x:v>0.4634170392351918</x:v>
      </x:c>
      <x:c r="Z5" s="55" t="n">
        <x:v>0.8479776012003475</x:v>
      </x:c>
      <x:c r="AA5" s="54" t="n">
        <x:v>79011.19146569182</x:v>
      </x:c>
      <x:c r="AB5" s="54" t="n">
        <x:v>20562.85288681359</x:v>
      </x:c>
      <x:c r="AC5" s="54" t="n">
        <x:v>3298.3409106604013</x:v>
      </x:c>
      <x:c r="AD5" s="53" t="str">
        <x:v>NBS standard province order assigned for reconstruction; original r-index order unavailable</x:v>
      </x:c>
      <x:c r="AE5" s="53" t="str">
        <x:v>official public 2024 NBS transcription; not historical author input</x:v>
      </x:c>
      <x:c r="AF5" s="53" t="str">
        <x:v>calibrated reconstruction; not historical author input</x:v>
      </x:c>
    </x:row>
    <x:row r="6" ht="36" hidden="0" customHeight="1">
      <x:c r="A6" s="48" t="str">
        <x:v>r05</x:v>
      </x:c>
      <x:c r="B6" s="48" t="str">
        <x:v>CN-NM</x:v>
      </x:c>
      <x:c r="C6" s="48" t="str">
        <x:v>Inner Mongolia</x:v>
      </x:c>
      <x:c r="D6" s="48" t="str">
        <x:v>内蒙古</x:v>
      </x:c>
      <x:c r="E6" s="48" t="n">
        <x:v>2024</x:v>
      </x:c>
      <x:c r="F6" s="48" t="n">
        <x:v>11.6</x:v>
      </x:c>
      <x:c r="G6" s="48" t="n">
        <x:v>0</x:v>
      </x:c>
      <x:c r="H6" s="48" t="n">
        <x:v>1.1</x:v>
      </x:c>
      <x:c r="I6" s="48" t="n">
        <x:v>0</x:v>
      </x:c>
      <x:c r="J6" s="48" t="n">
        <x:v>10.4</x:v>
      </x:c>
      <x:c r="K6" s="54" t="n">
        <x:v>2388</x:v>
      </x:c>
      <x:c r="L6" s="54" t="n">
        <x:v>40077</x:v>
      </x:c>
      <x:c r="M6" s="54" t="n">
        <x:v>906870</x:v>
      </x:c>
      <x:c r="N6" s="54" t="n">
        <x:v>5604</x:v>
      </x:c>
      <x:c r="O6" s="54" t="n">
        <x:v>251474</x:v>
      </x:c>
      <x:c r="P6" s="54" t="n">
        <x:v>13949</x:v>
      </x:c>
      <x:c r="Q6" s="54" t="n">
        <x:v>1521</x:v>
      </x:c>
      <x:c r="R6" s="54" t="n">
        <x:v>6194.2</x:v>
      </x:c>
      <x:c r="S6" s="55" t="n">
        <x:v>0.10904007455731593</x:v>
      </x:c>
      <x:c r="T6" s="55" t="n">
        <x:v>0.001563030920829086</x:v>
      </x:c>
      <x:c r="U6" s="55" t="n">
        <x:v>0.9671996738022426</x:v>
      </x:c>
      <x:c r="V6" s="55" t="n">
        <x:v>0.47256080998864214</x:v>
      </x:c>
      <x:c r="W6" s="55" t="n">
        <x:v>0.9700585757854481</x:v>
      </x:c>
      <x:c r="X6" s="55" t="n">
        <x:v>1.0308655837512788</x:v>
      </x:c>
      <x:c r="Y6" s="55" t="n">
        <x:v>0.5896268915409931</x:v>
      </x:c>
      <x:c r="Z6" s="55" t="n">
        <x:v>0.8734355995734412</x:v>
      </x:c>
      <x:c r="AA6" s="54" t="n">
        <x:v>63722.447961912054</x:v>
      </x:c>
      <x:c r="AB6" s="54" t="n">
        <x:v>41394.1349106723</x:v>
      </x:c>
      <x:c r="AC6" s="54" t="n">
        <x:v>19050.762156400597</x:v>
      </x:c>
      <x:c r="AD6" s="53" t="str">
        <x:v>NBS standard province order assigned for reconstruction; original r-index order unavailable</x:v>
      </x:c>
      <x:c r="AE6" s="53" t="str">
        <x:v>official public 2024 NBS transcription; not historical author input</x:v>
      </x:c>
      <x:c r="AF6" s="53" t="str">
        <x:v>calibrated reconstruction; not historical author input</x:v>
      </x:c>
    </x:row>
    <x:row r="7" ht="36" hidden="0" customHeight="1">
      <x:c r="A7" s="48" t="str">
        <x:v>r06</x:v>
      </x:c>
      <x:c r="B7" s="48" t="str">
        <x:v>CN-LN</x:v>
      </x:c>
      <x:c r="C7" s="48" t="str">
        <x:v>Liaoning</x:v>
      </x:c>
      <x:c r="D7" s="48" t="str">
        <x:v>辽宁</x:v>
      </x:c>
      <x:c r="E7" s="48" t="n">
        <x:v>2024</x:v>
      </x:c>
      <x:c r="F7" s="48" t="n">
        <x:v>535.9</x:v>
      </x:c>
      <x:c r="G7" s="48" t="n">
        <x:v>69.7</x:v>
      </x:c>
      <x:c r="H7" s="48" t="n">
        <x:v>3.3</x:v>
      </x:c>
      <x:c r="I7" s="48" t="n">
        <x:v>382.3</x:v>
      </x:c>
      <x:c r="J7" s="48" t="n">
        <x:v>80.6</x:v>
      </x:c>
      <x:c r="K7" s="54" t="n">
        <x:v>4155</x:v>
      </x:c>
      <x:c r="L7" s="54" t="n">
        <x:v>39844</x:v>
      </x:c>
      <x:c r="M7" s="54" t="n">
        <x:v>1372012</x:v>
      </x:c>
      <x:c r="N7" s="54" t="n">
        <x:v>15537</x:v>
      </x:c>
      <x:c r="O7" s="54" t="n">
        <x:v>185682</x:v>
      </x:c>
      <x:c r="P7" s="54" t="n">
        <x:v>33151</x:v>
      </x:c>
      <x:c r="Q7" s="54" t="n">
        <x:v>2759</x:v>
      </x:c>
      <x:c r="R7" s="54" t="n">
        <x:v>6954.6</x:v>
      </x:c>
      <x:c r="S7" s="55" t="n">
        <x:v>0.08322524207414557</x:v>
      </x:c>
      <x:c r="T7" s="55" t="n">
        <x:v>0.07283724091063541</x:v>
      </x:c>
      <x:c r="U7" s="55" t="n">
        <x:v>0.9671996738022426</x:v>
      </x:c>
      <x:c r="V7" s="55" t="n">
        <x:v>0.3180388610104413</x:v>
      </x:c>
      <x:c r="W7" s="55" t="n">
        <x:v>0.9644188410708234</x:v>
      </x:c>
      <x:c r="X7" s="55" t="n">
        <x:v>1.0368938861560084</x:v>
      </x:c>
      <x:c r="Y7" s="55" t="n">
        <x:v>0.573416144828374</x:v>
      </x:c>
      <x:c r="Z7" s="55" t="n">
        <x:v>0.8052438264394459</x:v>
      </x:c>
      <x:c r="AA7" s="54" t="n">
        <x:v>729432.4449158771</x:v>
      </x:c>
      <x:c r="AB7" s="54" t="n">
        <x:v>1851206.9893364627</x:v>
      </x:c>
      <x:c r="AC7" s="54" t="n">
        <x:v>1135027.348894327</x:v>
      </x:c>
      <x:c r="AD7" s="53" t="str">
        <x:v>NBS standard province order assigned for reconstruction; original r-index order unavailable</x:v>
      </x:c>
      <x:c r="AE7" s="53" t="str">
        <x:v>official public 2024 NBS transcription; not historical author input</x:v>
      </x:c>
      <x:c r="AF7" s="53" t="str">
        <x:v>calibrated reconstruction; not historical author input</x:v>
      </x:c>
    </x:row>
    <x:row r="8" ht="36" hidden="0" customHeight="1">
      <x:c r="A8" s="48" t="str">
        <x:v>r07</x:v>
      </x:c>
      <x:c r="B8" s="48" t="str">
        <x:v>CN-JL</x:v>
      </x:c>
      <x:c r="C8" s="48" t="str">
        <x:v>Jilin</x:v>
      </x:c>
      <x:c r="D8" s="48" t="str">
        <x:v>吉林</x:v>
      </x:c>
      <x:c r="E8" s="48" t="n">
        <x:v>2024</x:v>
      </x:c>
      <x:c r="F8" s="48" t="n">
        <x:v>26.6</x:v>
      </x:c>
      <x:c r="G8" s="48" t="n">
        <x:v>0</x:v>
      </x:c>
      <x:c r="H8" s="48" t="n">
        <x:v>1.8</x:v>
      </x:c>
      <x:c r="I8" s="48" t="n">
        <x:v>0</x:v>
      </x:c>
      <x:c r="J8" s="48" t="n">
        <x:v>24.8</x:v>
      </x:c>
      <x:c r="K8" s="54" t="n">
        <x:v>2317</x:v>
      </x:c>
      <x:c r="L8" s="54" t="n">
        <x:v>31318</x:v>
      </x:c>
      <x:c r="M8" s="54" t="n">
        <x:v>899449</x:v>
      </x:c>
      <x:c r="N8" s="54" t="n">
        <x:v>7346</x:v>
      </x:c>
      <x:c r="O8" s="54" t="n">
        <x:v>55578</x:v>
      </x:c>
      <x:c r="P8" s="54" t="n">
        <x:v>13240</x:v>
      </x:c>
      <x:c r="Q8" s="54" t="n">
        <x:v>1018</x:v>
      </x:c>
      <x:c r="R8" s="54" t="n">
        <x:v>1322.6</x:v>
      </x:c>
      <x:c r="S8" s="55" t="n">
        <x:v>0.0768882175226586</x:v>
      </x:c>
      <x:c r="T8" s="55" t="n">
        <x:v>0.003615358477743799</x:v>
      </x:c>
      <x:c r="U8" s="55" t="n">
        <x:v>0.9671996738022426</x:v>
      </x:c>
      <x:c r="V8" s="55" t="n">
        <x:v>0.2552416217657208</x:v>
      </x:c>
      <x:c r="W8" s="55" t="n">
        <x:v>0.7580481192815994</x:v>
      </x:c>
      <x:c r="X8" s="55" t="n">
        <x:v>1.3191774698256593</x:v>
      </x:c>
      <x:c r="Y8" s="55" t="n">
        <x:v>0.6072491935897149</x:v>
      </x:c>
      <x:c r="Z8" s="55" t="n">
        <x:v>0.5340449651791621</x:v>
      </x:c>
      <x:c r="AA8" s="54" t="n">
        <x:v>80342.8853066398</x:v>
      </x:c>
      <x:c r="AB8" s="54" t="n">
        <x:v>76536.74573681912</x:v>
      </x:c>
      <x:c r="AC8" s="54" t="n">
        <x:v>35599.33465643813</x:v>
      </x:c>
      <x:c r="AD8" s="53" t="str">
        <x:v>NBS standard province order assigned for reconstruction; original r-index order unavailable</x:v>
      </x:c>
      <x:c r="AE8" s="53" t="str">
        <x:v>official public 2024 NBS transcription; not historical author input</x:v>
      </x:c>
      <x:c r="AF8" s="53" t="str">
        <x:v>calibrated reconstruction; not historical author input</x:v>
      </x:c>
    </x:row>
    <x:row r="9" ht="36" hidden="0" customHeight="1">
      <x:c r="A9" s="48" t="str">
        <x:v>r08</x:v>
      </x:c>
      <x:c r="B9" s="48" t="str">
        <x:v>CN-HL</x:v>
      </x:c>
      <x:c r="C9" s="48" t="str">
        <x:v>Heilongjiang</x:v>
      </x:c>
      <x:c r="D9" s="48" t="str">
        <x:v>黑龙江</x:v>
      </x:c>
      <x:c r="E9" s="48" t="n">
        <x:v>2024</x:v>
      </x:c>
      <x:c r="F9" s="48" t="n">
        <x:v>81.4</x:v>
      </x:c>
      <x:c r="G9" s="48" t="n">
        <x:v>0</x:v>
      </x:c>
      <x:c r="H9" s="48" t="n">
        <x:v>5.1</x:v>
      </x:c>
      <x:c r="I9" s="48" t="n">
        <x:v>0</x:v>
      </x:c>
      <x:c r="J9" s="48" t="n">
        <x:v>76.3</x:v>
      </x:c>
      <x:c r="K9" s="54" t="n">
        <x:v>3029</x:v>
      </x:c>
      <x:c r="L9" s="54" t="n">
        <x:v>31269</x:v>
      </x:c>
      <x:c r="M9" s="54" t="n">
        <x:v>1004969</x:v>
      </x:c>
      <x:c r="N9" s="54" t="n">
        <x:v>9166</x:v>
      </x:c>
      <x:c r="O9" s="54" t="n">
        <x:v>55452</x:v>
      </x:c>
      <x:c r="P9" s="54" t="n">
        <x:v>15078</x:v>
      </x:c>
      <x:c r="Q9" s="54" t="n">
        <x:v>1263</x:v>
      </x:c>
      <x:c r="R9" s="54" t="n">
        <x:v>1372.8</x:v>
      </x:c>
      <x:c r="S9" s="55" t="n">
        <x:v>0.08376442499005173</x:v>
      </x:c>
      <x:c r="T9" s="55" t="n">
        <x:v>0.011063540604825008</x:v>
      </x:c>
      <x:c r="U9" s="55" t="n">
        <x:v>0.9671996738022426</x:v>
      </x:c>
      <x:c r="V9" s="55" t="n">
        <x:v>0.26987779808772566</x:v>
      </x:c>
      <x:c r="W9" s="55" t="n">
        <x:v>0.7568620806506269</x:v>
      </x:c>
      <x:c r="X9" s="55" t="n">
        <x:v>1.3212446832325946</x:v>
      </x:c>
      <x:c r="Y9" s="55" t="n">
        <x:v>0.5635300997686218</x:v>
      </x:c>
      <x:c r="Z9" s="55" t="n">
        <x:v>0.5335346854396831</x:v>
      </x:c>
      <x:c r="AA9" s="54" t="n">
        <x:v>160936.8401235602</x:v>
      </x:c>
      <x:c r="AB9" s="54" t="n">
        <x:v>234125.56766718256</x:v>
      </x:c>
      <x:c r="AC9" s="54" t="n">
        <x:v>104295.81431295132</x:v>
      </x:c>
      <x:c r="AD9" s="53" t="str">
        <x:v>NBS standard province order assigned for reconstruction; original r-index order unavailable</x:v>
      </x:c>
      <x:c r="AE9" s="53" t="str">
        <x:v>official public 2024 NBS transcription; not historical author input</x:v>
      </x:c>
      <x:c r="AF9" s="53" t="str">
        <x:v>calibrated reconstruction; not historical author input</x:v>
      </x:c>
    </x:row>
    <x:row r="10" ht="36" hidden="0" customHeight="1">
      <x:c r="A10" s="48" t="str">
        <x:v>r09</x:v>
      </x:c>
      <x:c r="B10" s="48" t="str">
        <x:v>CN-SH</x:v>
      </x:c>
      <x:c r="C10" s="48" t="str">
        <x:v>Shanghai</x:v>
      </x:c>
      <x:c r="D10" s="48" t="str">
        <x:v>上海</x:v>
      </x:c>
      <x:c r="E10" s="48" t="n">
        <x:v>2024</x:v>
      </x:c>
      <x:c r="F10" s="48" t="n">
        <x:v>22</x:v>
      </x:c>
      <x:c r="G10" s="48" t="n">
        <x:v>12.1</x:v>
      </x:c>
      <x:c r="H10" s="48" t="n">
        <x:v>0</x:v>
      </x:c>
      <x:c r="I10" s="48" t="n">
        <x:v>0</x:v>
      </x:c>
      <x:c r="J10" s="48" t="n">
        <x:v>9.9</x:v>
      </x:c>
      <x:c r="K10" s="54" t="n">
        <x:v>2480</x:v>
      </x:c>
      <x:c r="L10" s="54" t="n">
        <x:v>88366</x:v>
      </x:c>
      <x:c r="M10" s="54" t="n">
        <x:v>130709</x:v>
      </x:c>
      <x:c r="N10" s="54" t="n">
        <x:v>1617</x:v>
      </x:c>
      <x:c r="O10" s="54" t="n">
        <x:v>155511</x:v>
      </x:c>
      <x:c r="P10" s="54" t="n">
        <x:v>57286</x:v>
      </x:c>
      <x:c r="Q10" s="54" t="n">
        <x:v>8479</x:v>
      </x:c>
      <x:c r="R10" s="54" t="n">
        <x:v>46683.4</x:v>
      </x:c>
      <x:c r="S10" s="55" t="n">
        <x:v>0.1480117306148099</x:v>
      </x:c>
      <x:c r="T10" s="55" t="n">
        <x:v>0.0029901461094121646</x:v>
      </x:c>
      <x:c r="U10" s="55" t="n">
        <x:v>0.9671996738022426</x:v>
      </x:c>
      <x:c r="V10" s="55" t="n">
        <x:v>0.6872736166510192</x:v>
      </x:c>
      <x:c r="W10" s="55" t="n">
        <x:v>1.45</x:v>
      </x:c>
      <x:c r="X10" s="55" t="n">
        <x:v>0.65</x:v>
      </x:c>
      <x:c r="Y10" s="55" t="n">
        <x:v>0.011365389685132364</x:v>
      </x:c>
      <x:c r="Z10" s="55" t="n">
        <x:v>0.7653772783796862</x:v>
      </x:c>
      <x:c r="AA10" s="54" t="n">
        <x:v>78235.81417005883</x:v>
      </x:c>
      <x:c r="AB10" s="54" t="n">
        <x:v>74130.30353541767</x:v>
      </x:c>
      <x:c r="AC10" s="54" t="n">
        <x:v>150131.3793817838</x:v>
      </x:c>
      <x:c r="AD10" s="53" t="str">
        <x:v>NBS standard province order assigned for reconstruction; original r-index order unavailable</x:v>
      </x:c>
      <x:c r="AE10" s="53" t="str">
        <x:v>official public 2024 NBS transcription; not historical author input</x:v>
      </x:c>
      <x:c r="AF10" s="53" t="str">
        <x:v>calibrated reconstruction; not historical author input</x:v>
      </x:c>
    </x:row>
    <x:row r="11" ht="36" hidden="0" customHeight="1">
      <x:c r="A11" s="48" t="str">
        <x:v>r10</x:v>
      </x:c>
      <x:c r="B11" s="48" t="str">
        <x:v>CN-JS</x:v>
      </x:c>
      <x:c r="C11" s="48" t="str">
        <x:v>Jiangsu</x:v>
      </x:c>
      <x:c r="D11" s="48" t="str">
        <x:v>江苏</x:v>
      </x:c>
      <x:c r="E11" s="48" t="n">
        <x:v>2024</x:v>
      </x:c>
      <x:c r="F11" s="48" t="n">
        <x:v>536.1</x:v>
      </x:c>
      <x:c r="G11" s="48" t="n">
        <x:v>45.8</x:v>
      </x:c>
      <x:c r="H11" s="48" t="n">
        <x:v>18.5</x:v>
      </x:c>
      <x:c r="I11" s="48" t="n">
        <x:v>102.3</x:v>
      </x:c>
      <x:c r="J11" s="48" t="n">
        <x:v>369.4</x:v>
      </x:c>
      <x:c r="K11" s="54" t="n">
        <x:v>8526</x:v>
      </x:c>
      <x:c r="L11" s="54" t="n">
        <x:v>55415</x:v>
      </x:c>
      <x:c r="M11" s="54" t="n">
        <x:v>1206340</x:v>
      </x:c>
      <x:c r="N11" s="54" t="n">
        <x:v>18831</x:v>
      </x:c>
      <x:c r="O11" s="54" t="n">
        <x:v>319944</x:v>
      </x:c>
      <x:c r="P11" s="54" t="n">
        <x:v>185646</x:v>
      </x:c>
      <x:c r="Q11" s="54" t="n">
        <x:v>21199</x:v>
      </x:c>
      <x:c r="R11" s="54" t="n">
        <x:v>30208.7</x:v>
      </x:c>
      <x:c r="S11" s="55" t="n">
        <x:v>0.1141904484879825</x:v>
      </x:c>
      <x:c r="T11" s="55" t="n">
        <x:v>0.07285083248386001</x:v>
      </x:c>
      <x:c r="U11" s="55" t="n">
        <x:v>0.9671996738022426</x:v>
      </x:c>
      <x:c r="V11" s="55" t="n">
        <x:v>0.3823603532879962</x:v>
      </x:c>
      <x:c r="W11" s="55" t="n">
        <x:v>1.3413128721498766</x:v>
      </x:c>
      <x:c r="X11" s="55" t="n">
        <x:v>0.7455382116755391</x:v>
      </x:c>
      <x:c r="Y11" s="55" t="n">
        <x:v>0.3315188418889674</x:v>
      </x:c>
      <x:c r="Z11" s="55" t="n">
        <x:v>0.9275760927783111</x:v>
      </x:c>
      <x:c r="AA11" s="54" t="n">
        <x:v>820951.308725978</x:v>
      </x:c>
      <x:c r="AB11" s="54" t="n">
        <x:v>1991075.0515960047</x:v>
      </x:c>
      <x:c r="AC11" s="54" t="n">
        <x:v>1036133.9895212502</x:v>
      </x:c>
      <x:c r="AD11" s="53" t="str">
        <x:v>NBS standard province order assigned for reconstruction; original r-index order unavailable</x:v>
      </x:c>
      <x:c r="AE11" s="53" t="str">
        <x:v>official public 2024 NBS transcription; not historical author input</x:v>
      </x:c>
      <x:c r="AF11" s="53" t="str">
        <x:v>calibrated reconstruction; not historical author input</x:v>
      </x:c>
    </x:row>
    <x:row r="12" ht="36" hidden="0" customHeight="1">
      <x:c r="A12" s="48" t="str">
        <x:v>r11</x:v>
      </x:c>
      <x:c r="B12" s="48" t="str">
        <x:v>CN-ZJ</x:v>
      </x:c>
      <x:c r="C12" s="48" t="str">
        <x:v>Zhejiang</x:v>
      </x:c>
      <x:c r="D12" s="48" t="str">
        <x:v>浙江</x:v>
      </x:c>
      <x:c r="E12" s="48" t="n">
        <x:v>2024</x:v>
      </x:c>
      <x:c r="F12" s="48" t="n">
        <x:v>649.5</x:v>
      </x:c>
      <x:c r="G12" s="48" t="n">
        <x:v>316.3</x:v>
      </x:c>
      <x:c r="H12" s="48" t="n">
        <x:v>17.1</x:v>
      </x:c>
      <x:c r="I12" s="48" t="n">
        <x:v>172.2</x:v>
      </x:c>
      <x:c r="J12" s="48" t="n">
        <x:v>144</x:v>
      </x:c>
      <x:c r="K12" s="54" t="n">
        <x:v>6670</x:v>
      </x:c>
      <x:c r="L12" s="54" t="n">
        <x:v>67013</x:v>
      </x:c>
      <x:c r="M12" s="54" t="n">
        <x:v>514440</x:v>
      </x:c>
      <x:c r="N12" s="54" t="n">
        <x:v>12599</x:v>
      </x:c>
      <x:c r="O12" s="54" t="n">
        <x:v>371158</x:v>
      </x:c>
      <x:c r="P12" s="54" t="n">
        <x:v>139433</x:v>
      </x:c>
      <x:c r="Q12" s="54" t="n">
        <x:v>19861</x:v>
      </x:c>
      <x:c r="R12" s="54" t="n">
        <x:v>27311.2</x:v>
      </x:c>
      <x:c r="S12" s="55" t="n">
        <x:v>0.1424411724627599</x:v>
      </x:c>
      <x:c r="T12" s="55" t="n">
        <x:v>0.08829085966700646</x:v>
      </x:c>
      <x:c r="U12" s="55" t="n">
        <x:v>0.9671996738022426</x:v>
      </x:c>
      <x:c r="V12" s="55" t="n">
        <x:v>0.4719301192879361</x:v>
      </x:c>
      <x:c r="W12" s="55" t="n">
        <x:v>1.45</x:v>
      </x:c>
      <x:c r="X12" s="55" t="n">
        <x:v>0.65</x:v>
      </x:c>
      <x:c r="Y12" s="55" t="n">
        <x:v>0.18317222278641038</x:v>
      </x:c>
      <x:c r="Z12" s="55" t="n">
        <x:v>0.9609592893964504</x:v>
      </x:c>
      <x:c r="AA12" s="54" t="n">
        <x:v>918349.4481538428</x:v>
      </x:c>
      <x:c r="AB12" s="54" t="n">
        <x:v>2459207.828888912</x:v>
      </x:c>
      <x:c r="AC12" s="54" t="n">
        <x:v>4161368.8703187164</x:v>
      </x:c>
      <x:c r="AD12" s="53" t="str">
        <x:v>NBS standard province order assigned for reconstruction; original r-index order unavailable</x:v>
      </x:c>
      <x:c r="AE12" s="53" t="str">
        <x:v>official public 2024 NBS transcription; not historical author input</x:v>
      </x:c>
      <x:c r="AF12" s="53" t="str">
        <x:v>calibrated reconstruction; not historical author input</x:v>
      </x:c>
    </x:row>
    <x:row r="13" ht="36" hidden="0" customHeight="1">
      <x:c r="A13" s="48" t="str">
        <x:v>r12</x:v>
      </x:c>
      <x:c r="B13" s="48" t="str">
        <x:v>CN-AH</x:v>
      </x:c>
      <x:c r="C13" s="48" t="str">
        <x:v>Anhui</x:v>
      </x:c>
      <x:c r="D13" s="48" t="str">
        <x:v>安徽</x:v>
      </x:c>
      <x:c r="E13" s="48" t="n">
        <x:v>2024</x:v>
      </x:c>
      <x:c r="F13" s="48" t="n">
        <x:v>261.2</x:v>
      </x:c>
      <x:c r="G13" s="48" t="n">
        <x:v>0</x:v>
      </x:c>
      <x:c r="H13" s="48" t="n">
        <x:v>9.8</x:v>
      </x:c>
      <x:c r="I13" s="48" t="n">
        <x:v>0</x:v>
      </x:c>
      <x:c r="J13" s="48" t="n">
        <x:v>251.4</x:v>
      </x:c>
      <x:c r="K13" s="54" t="n">
        <x:v>6123</x:v>
      </x:c>
      <x:c r="L13" s="54" t="n">
        <x:v>36782</x:v>
      </x:c>
      <x:c r="M13" s="54" t="n">
        <x:v>1397464</x:v>
      </x:c>
      <x:c r="N13" s="54" t="n">
        <x:v>22504</x:v>
      </x:c>
      <x:c r="O13" s="54" t="n">
        <x:v>441542</x:v>
      </x:c>
      <x:c r="P13" s="54" t="n">
        <x:v>58921</x:v>
      </x:c>
      <x:c r="Q13" s="54" t="n">
        <x:v>7057</x:v>
      </x:c>
      <x:c r="R13" s="54" t="n">
        <x:v>11568.9</x:v>
      </x:c>
      <x:c r="S13" s="55" t="n">
        <x:v>0.11977054021486397</x:v>
      </x:c>
      <x:c r="T13" s="55" t="n">
        <x:v>0.03550118926265715</x:v>
      </x:c>
      <x:c r="U13" s="55" t="n">
        <x:v>0.9671996738022426</x:v>
      </x:c>
      <x:c r="V13" s="55" t="n">
        <x:v>0.4110764830343037</x:v>
      </x:c>
      <x:c r="W13" s="55" t="n">
        <x:v>0.890303529070049</x:v>
      </x:c>
      <x:c r="X13" s="55" t="n">
        <x:v>1.1232124408678157</x:v>
      </x:c>
      <x:c r="Y13" s="55" t="n">
        <x:v>0.48205653511898827</x:v>
      </x:c>
      <x:c r="Z13" s="55" t="n">
        <x:v>1</x:v>
      </x:c>
      <x:c r="AA13" s="54" t="n">
        <x:v>441215.5537265168</x:v>
      </x:c>
      <x:c r="AB13" s="54" t="n">
        <x:v>1010530.219188583</x:v>
      </x:c>
      <x:c r="AC13" s="54" t="n">
        <x:v>260000.25247481646</x:v>
      </x:c>
      <x:c r="AD13" s="53" t="str">
        <x:v>NBS standard province order assigned for reconstruction; original r-index order unavailable</x:v>
      </x:c>
      <x:c r="AE13" s="53" t="str">
        <x:v>official public 2024 NBS transcription; not historical author input</x:v>
      </x:c>
      <x:c r="AF13" s="53" t="str">
        <x:v>calibrated reconstruction; not historical author input</x:v>
      </x:c>
    </x:row>
    <x:row r="14" ht="36" hidden="0" customHeight="1">
      <x:c r="A14" s="48" t="str">
        <x:v>r13</x:v>
      </x:c>
      <x:c r="B14" s="48" t="str">
        <x:v>CN-FJ</x:v>
      </x:c>
      <x:c r="C14" s="48" t="str">
        <x:v>Fujian</x:v>
      </x:c>
      <x:c r="D14" s="48" t="str">
        <x:v>福建</x:v>
      </x:c>
      <x:c r="E14" s="48" t="n">
        <x:v>2024</x:v>
      </x:c>
      <x:c r="F14" s="48" t="n">
        <x:v>924.7</x:v>
      </x:c>
      <x:c r="G14" s="48" t="n">
        <x:v>205.4</x:v>
      </x:c>
      <x:c r="H14" s="48" t="n">
        <x:v>7.3</x:v>
      </x:c>
      <x:c r="I14" s="48" t="n">
        <x:v>613.3</x:v>
      </x:c>
      <x:c r="J14" s="48" t="n">
        <x:v>98.7</x:v>
      </x:c>
      <x:c r="K14" s="54" t="n">
        <x:v>4193</x:v>
      </x:c>
      <x:c r="L14" s="54" t="n">
        <x:v>47857</x:v>
      </x:c>
      <x:c r="M14" s="54" t="n">
        <x:v>602380</x:v>
      </x:c>
      <x:c r="N14" s="54" t="n">
        <x:v>15302</x:v>
      </x:c>
      <x:c r="O14" s="54" t="n">
        <x:v>183536</x:v>
      </x:c>
      <x:c r="P14" s="54" t="n">
        <x:v>73324</x:v>
      </x:c>
      <x:c r="Q14" s="54" t="n">
        <x:v>9134</x:v>
      </x:c>
      <x:c r="R14" s="54" t="n">
        <x:v>13504.5</x:v>
      </x:c>
      <x:c r="S14" s="55" t="n">
        <x:v>0.12457039986907424</x:v>
      </x:c>
      <x:c r="T14" s="55" t="n">
        <x:v>0.12568127760788309</x:v>
      </x:c>
      <x:c r="U14" s="55" t="n">
        <x:v>0.9671996738022426</x:v>
      </x:c>
      <x:c r="V14" s="55" t="n">
        <x:v>0.4190901266522838</x:v>
      </x:c>
      <x:c r="W14" s="55" t="n">
        <x:v>1.1583724645398654</x:v>
      </x:c>
      <x:c r="X14" s="55" t="n">
        <x:v>0.8632801888960863</x:v>
      </x:c>
      <x:c r="Y14" s="55" t="n">
        <x:v>0.3793332901146332</x:v>
      </x:c>
      <x:c r="Z14" s="55" t="n">
        <x:v>0.8026302503604382</x:v>
      </x:c>
      <x:c r="AA14" s="54" t="n">
        <x:v>1196402.5963087247</x:v>
      </x:c>
      <x:c r="AB14" s="54" t="n">
        <x:v>3189130.8713405924</x:v>
      </x:c>
      <x:c r="AC14" s="54" t="n">
        <x:v>2945020.3575925897</x:v>
      </x:c>
      <x:c r="AD14" s="53" t="str">
        <x:v>NBS standard province order assigned for reconstruction; original r-index order unavailable</x:v>
      </x:c>
      <x:c r="AE14" s="53" t="str">
        <x:v>official public 2024 NBS transcription; not historical author input</x:v>
      </x:c>
      <x:c r="AF14" s="53" t="str">
        <x:v>calibrated reconstruction; not historical author input</x:v>
      </x:c>
    </x:row>
    <x:row r="15" ht="36" hidden="0" customHeight="1">
      <x:c r="A15" s="48" t="str">
        <x:v>r14</x:v>
      </x:c>
      <x:c r="B15" s="48" t="str">
        <x:v>CN-JX</x:v>
      </x:c>
      <x:c r="C15" s="48" t="str">
        <x:v>Jiangxi</x:v>
      </x:c>
      <x:c r="D15" s="48" t="str">
        <x:v>江西</x:v>
      </x:c>
      <x:c r="E15" s="48" t="n">
        <x:v>2024</x:v>
      </x:c>
      <x:c r="F15" s="48" t="n">
        <x:v>303.3</x:v>
      </x:c>
      <x:c r="G15" s="48" t="n">
        <x:v>0</x:v>
      </x:c>
      <x:c r="H15" s="48" t="n">
        <x:v>1</x:v>
      </x:c>
      <x:c r="I15" s="48" t="n">
        <x:v>0</x:v>
      </x:c>
      <x:c r="J15" s="48" t="n">
        <x:v>302.2</x:v>
      </x:c>
      <x:c r="K15" s="54" t="n">
        <x:v>4502</x:v>
      </x:c>
      <x:c r="L15" s="54" t="n">
        <x:v>36007</x:v>
      </x:c>
      <x:c r="M15" s="54" t="n">
        <x:v>1044465</x:v>
      </x:c>
      <x:c r="N15" s="54" t="n">
        <x:v>17393</x:v>
      </x:c>
      <x:c r="O15" s="54" t="n">
        <x:v>215859</x:v>
      </x:c>
      <x:c r="P15" s="54" t="n">
        <x:v>54180</x:v>
      </x:c>
      <x:c r="Q15" s="54" t="n">
        <x:v>6792</x:v>
      </x:c>
      <x:c r="R15" s="54" t="n">
        <x:v>4765.4</x:v>
      </x:c>
      <x:c r="S15" s="55" t="n">
        <x:v>0.12535991140642302</x:v>
      </x:c>
      <x:c r="T15" s="55" t="n">
        <x:v>0.041209650016989466</x:v>
      </x:c>
      <x:c r="U15" s="55" t="n">
        <x:v>0.9671996738022426</x:v>
      </x:c>
      <x:c r="V15" s="55" t="n">
        <x:v>0.3805158963275592</x:v>
      </x:c>
      <x:c r="W15" s="55" t="n">
        <x:v>0.8715447548046666</x:v>
      </x:c>
      <x:c r="X15" s="55" t="n">
        <x:v>1.1473880078873553</x:v>
      </x:c>
      <x:c r="Y15" s="55" t="n">
        <x:v>0.4897046852044219</x:v>
      </x:c>
      <x:c r="Z15" s="55" t="n">
        <x:v>0.8391008976553792</x:v>
      </x:c>
      <x:c r="AA15" s="54" t="n">
        <x:v>457678.41302535526</x:v>
      </x:c>
      <x:c r="AB15" s="54" t="n">
        <x:v>1069213.9594700262</x:v>
      </x:c>
      <x:c r="AC15" s="54" t="n">
        <x:v>183797.20384921407</x:v>
      </x:c>
      <x:c r="AD15" s="53" t="str">
        <x:v>NBS standard province order assigned for reconstruction; original r-index order unavailable</x:v>
      </x:c>
      <x:c r="AE15" s="53" t="str">
        <x:v>official public 2024 NBS transcription; not historical author input</x:v>
      </x:c>
      <x:c r="AF15" s="53" t="str">
        <x:v>calibrated reconstruction; not historical author input</x:v>
      </x:c>
    </x:row>
    <x:row r="16" ht="36" hidden="0" customHeight="1">
      <x:c r="A16" s="48" t="str">
        <x:v>r15</x:v>
      </x:c>
      <x:c r="B16" s="48" t="str">
        <x:v>CN-SD</x:v>
      </x:c>
      <x:c r="C16" s="48" t="str">
        <x:v>Shandong</x:v>
      </x:c>
      <x:c r="D16" s="48" t="str">
        <x:v>山东</x:v>
      </x:c>
      <x:c r="E16" s="48" t="n">
        <x:v>2024</x:v>
      </x:c>
      <x:c r="F16" s="48" t="n">
        <x:v>952.7</x:v>
      </x:c>
      <x:c r="G16" s="48" t="n">
        <x:v>219</x:v>
      </x:c>
      <x:c r="H16" s="48" t="n">
        <x:v>10.8</x:v>
      </x:c>
      <x:c r="I16" s="48" t="n">
        <x:v>606.3</x:v>
      </x:c>
      <x:c r="J16" s="48" t="n">
        <x:v>116.7</x:v>
      </x:c>
      <x:c r="K16" s="54" t="n">
        <x:v>10080</x:v>
      </x:c>
      <x:c r="L16" s="54" t="n">
        <x:v>42077</x:v>
      </x:c>
      <x:c r="M16" s="54" t="n">
        <x:v>1542184</x:v>
      </x:c>
      <x:c r="N16" s="54" t="n">
        <x:v>16048</x:v>
      </x:c>
      <x:c r="O16" s="54" t="n">
        <x:v>355666</x:v>
      </x:c>
      <x:c r="P16" s="54" t="n">
        <x:v>128344</x:v>
      </x:c>
      <x:c r="Q16" s="54" t="n">
        <x:v>21871</x:v>
      </x:c>
      <x:c r="R16" s="54" t="n">
        <x:v>34535.2</x:v>
      </x:c>
      <x:c r="S16" s="55" t="n">
        <x:v>0.1704092127407592</x:v>
      </x:c>
      <x:c r="T16" s="55" t="n">
        <x:v>0.1295005096839959</x:v>
      </x:c>
      <x:c r="U16" s="55" t="n">
        <x:v>0.9671996738022426</x:v>
      </x:c>
      <x:c r="V16" s="55" t="n">
        <x:v>0.5757731026927012</x:v>
      </x:c>
      <x:c r="W16" s="55" t="n">
        <x:v>1.018468315825144</x:v>
      </x:c>
      <x:c r="X16" s="55" t="n">
        <x:v>0.9818665779404425</x:v>
      </x:c>
      <x:c r="Y16" s="55" t="n">
        <x:v>0.33013660372581943</x:v>
      </x:c>
      <x:c r="Z16" s="55" t="n">
        <x:v>0.9513734848065074</x:v>
      </x:c>
      <x:c r="AA16" s="54" t="n">
        <x:v>1353193.8032391004</x:v>
      </x:c>
      <x:c r="AB16" s="54" t="n">
        <x:v>3587605.743715798</x:v>
      </x:c>
      <x:c r="AC16" s="54" t="n">
        <x:v>3155488.628460765</x:v>
      </x:c>
      <x:c r="AD16" s="53" t="str">
        <x:v>NBS standard province order assigned for reconstruction; original r-index order unavailable</x:v>
      </x:c>
      <x:c r="AE16" s="53" t="str">
        <x:v>official public 2024 NBS transcription; not historical author input</x:v>
      </x:c>
      <x:c r="AF16" s="53" t="str">
        <x:v>calibrated reconstruction; not historical author input</x:v>
      </x:c>
    </x:row>
    <x:row r="17" ht="36" hidden="0" customHeight="1">
      <x:c r="A17" s="48" t="str">
        <x:v>r16</x:v>
      </x:c>
      <x:c r="B17" s="48" t="str">
        <x:v>CN-HA</x:v>
      </x:c>
      <x:c r="C17" s="48" t="str">
        <x:v>Henan</x:v>
      </x:c>
      <x:c r="D17" s="48" t="str">
        <x:v>河南</x:v>
      </x:c>
      <x:c r="E17" s="48" t="n">
        <x:v>2024</x:v>
      </x:c>
      <x:c r="F17" s="48" t="n">
        <x:v>100.4</x:v>
      </x:c>
      <x:c r="G17" s="48" t="n">
        <x:v>0</x:v>
      </x:c>
      <x:c r="H17" s="48" t="n">
        <x:v>11.1</x:v>
      </x:c>
      <x:c r="I17" s="48" t="n">
        <x:v>0</x:v>
      </x:c>
      <x:c r="J17" s="48" t="n">
        <x:v>89.3</x:v>
      </x:c>
      <x:c r="K17" s="54" t="n">
        <x:v>9785</x:v>
      </x:c>
      <x:c r="L17" s="54" t="n">
        <x:v>31552</x:v>
      </x:c>
      <x:c r="M17" s="54" t="n">
        <x:v>1699957</x:v>
      </x:c>
      <x:c r="N17" s="54" t="n">
        <x:v>21009</x:v>
      </x:c>
      <x:c r="O17" s="54" t="n">
        <x:v>293441</x:v>
      </x:c>
      <x:c r="P17" s="54" t="n">
        <x:v>75879</x:v>
      </x:c>
      <x:c r="Q17" s="54" t="n">
        <x:v>6797</x:v>
      </x:c>
      <x:c r="R17" s="54" t="n">
        <x:v>9664.9</x:v>
      </x:c>
      <x:c r="S17" s="55" t="n">
        <x:v>0.08957682626286588</x:v>
      </x:c>
      <x:c r="T17" s="55" t="n">
        <x:v>0.01364593951749915</x:v>
      </x:c>
      <x:c r="U17" s="55" t="n">
        <x:v>0.9671996738022426</x:v>
      </x:c>
      <x:c r="V17" s="55" t="n">
        <x:v>0.30125780439425703</x:v>
      </x:c>
      <x:c r="W17" s="55" t="n">
        <x:v>0.7637120588662439</x:v>
      </x:c>
      <x:c r="X17" s="55" t="n">
        <x:v>1.3093940162271804</x:v>
      </x:c>
      <x:c r="Y17" s="55" t="n">
        <x:v>0.37936273739681037</x:v>
      </x:c>
      <x:c r="Z17" s="55" t="n">
        <x:v>0.9081351775837925</x:v>
      </x:c>
      <x:c r="AA17" s="54" t="n">
        <x:v>324988.1039437207</x:v>
      </x:c>
      <x:c r="AB17" s="54" t="n">
        <x:v>368801.84178739024</x:v>
      </x:c>
      <x:c r="AC17" s="54" t="n">
        <x:v>183342.2602753299</x:v>
      </x:c>
      <x:c r="AD17" s="53" t="str">
        <x:v>NBS standard province order assigned for reconstruction; original r-index order unavailable</x:v>
      </x:c>
      <x:c r="AE17" s="53" t="str">
        <x:v>official public 2024 NBS transcription; not historical author input</x:v>
      </x:c>
      <x:c r="AF17" s="53" t="str">
        <x:v>calibrated reconstruction; not historical author input</x:v>
      </x:c>
    </x:row>
    <x:row r="18" ht="36" hidden="0" customHeight="1">
      <x:c r="A18" s="48" t="str">
        <x:v>r17</x:v>
      </x:c>
      <x:c r="B18" s="48" t="str">
        <x:v>CN-HB</x:v>
      </x:c>
      <x:c r="C18" s="48" t="str">
        <x:v>Hubei</x:v>
      </x:c>
      <x:c r="D18" s="48" t="str">
        <x:v>湖北</x:v>
      </x:c>
      <x:c r="E18" s="48" t="n">
        <x:v>2024</x:v>
      </x:c>
      <x:c r="F18" s="48" t="n">
        <x:v>546.4</x:v>
      </x:c>
      <x:c r="G18" s="48" t="n">
        <x:v>0</x:v>
      </x:c>
      <x:c r="H18" s="48" t="n">
        <x:v>2.4</x:v>
      </x:c>
      <x:c r="I18" s="48" t="n">
        <x:v>0</x:v>
      </x:c>
      <x:c r="J18" s="48" t="n">
        <x:v>544.1</x:v>
      </x:c>
      <x:c r="K18" s="54" t="n">
        <x:v>5834</x:v>
      </x:c>
      <x:c r="L18" s="54" t="n">
        <x:v>36947</x:v>
      </x:c>
      <x:c r="M18" s="54" t="n">
        <x:v>1490235</x:v>
      </x:c>
      <x:c r="N18" s="54" t="n">
        <x:v>24650</x:v>
      </x:c>
      <x:c r="O18" s="54" t="n">
        <x:v>267173</x:v>
      </x:c>
      <x:c r="P18" s="54" t="n">
        <x:v>70736</x:v>
      </x:c>
      <x:c r="Q18" s="54" t="n">
        <x:v>9377</x:v>
      </x:c>
      <x:c r="R18" s="54" t="n">
        <x:v>10974.4</x:v>
      </x:c>
      <x:c r="S18" s="55" t="n">
        <x:v>0.13256333408731055</x:v>
      </x:c>
      <x:c r="T18" s="55" t="n">
        <x:v>0.07427794767244308</x:v>
      </x:c>
      <x:c r="U18" s="55" t="n">
        <x:v>0.9671996738022426</x:v>
      </x:c>
      <x:c r="V18" s="55" t="n">
        <x:v>0.42869205447337466</x:v>
      </x:c>
      <x:c r="W18" s="55" t="n">
        <x:v>0.8942973326233238</x:v>
      </x:c>
      <x:c r="X18" s="55" t="n">
        <x:v>1.1181963352910926</x:v>
      </x:c>
      <x:c r="Y18" s="55" t="n">
        <x:v>0.519055485745661</x:v>
      </x:c>
      <x:c r="Z18" s="55" t="n">
        <x:v>0.8870505758570436</x:v>
      </x:c>
      <x:c r="AA18" s="54" t="n">
        <x:v>777250.373372558</x:v>
      </x:c>
      <x:c r="AB18" s="54" t="n">
        <x:v>1982953.648820809</x:v>
      </x:c>
      <x:c r="AC18" s="54" t="n">
        <x:v>338079.9433426911</x:v>
      </x:c>
      <x:c r="AD18" s="53" t="str">
        <x:v>NBS standard province order assigned for reconstruction; original r-index order unavailable</x:v>
      </x:c>
      <x:c r="AE18" s="53" t="str">
        <x:v>official public 2024 NBS transcription; not historical author input</x:v>
      </x:c>
      <x:c r="AF18" s="53" t="str">
        <x:v>calibrated reconstruction; not historical author input</x:v>
      </x:c>
    </x:row>
    <x:row r="19" ht="36" hidden="0" customHeight="1">
      <x:c r="A19" s="48" t="str">
        <x:v>r18</x:v>
      </x:c>
      <x:c r="B19" s="48" t="str">
        <x:v>CN-HN</x:v>
      </x:c>
      <x:c r="C19" s="48" t="str">
        <x:v>Hunan</x:v>
      </x:c>
      <x:c r="D19" s="48" t="str">
        <x:v>湖南</x:v>
      </x:c>
      <x:c r="E19" s="48" t="n">
        <x:v>2024</x:v>
      </x:c>
      <x:c r="F19" s="48" t="n">
        <x:v>299.1</x:v>
      </x:c>
      <x:c r="G19" s="48" t="n">
        <x:v>0</x:v>
      </x:c>
      <x:c r="H19" s="48" t="n">
        <x:v>0.1</x:v>
      </x:c>
      <x:c r="I19" s="48" t="n">
        <x:v>0</x:v>
      </x:c>
      <x:c r="J19" s="48" t="n">
        <x:v>299</x:v>
      </x:c>
      <x:c r="K19" s="54" t="n">
        <x:v>6539</x:v>
      </x:c>
      <x:c r="L19" s="54" t="n">
        <x:v>37679</x:v>
      </x:c>
      <x:c r="M19" s="54" t="n">
        <x:v>1732340</x:v>
      </x:c>
      <x:c r="N19" s="54" t="n">
        <x:v>28663</x:v>
      </x:c>
      <x:c r="O19" s="54" t="n">
        <x:v>237819</x:v>
      </x:c>
      <x:c r="P19" s="54" t="n">
        <x:v>56846</x:v>
      </x:c>
      <x:c r="Q19" s="54" t="n">
        <x:v>7094</x:v>
      </x:c>
      <x:c r="R19" s="54" t="n">
        <x:v>6560.1</x:v>
      </x:c>
      <x:c r="S19" s="55" t="n">
        <x:v>0.12479330119973261</x:v>
      </x:c>
      <x:c r="T19" s="55" t="n">
        <x:v>0.04065239551478083</x:v>
      </x:c>
      <x:c r="U19" s="55" t="n">
        <x:v>0.9671996738022426</x:v>
      </x:c>
      <x:c r="V19" s="55" t="n">
        <x:v>0.39095547348966303</x:v>
      </x:c>
      <x:c r="W19" s="55" t="n">
        <x:v>0.9120152974778526</x:v>
      </x:c>
      <x:c r="X19" s="55" t="n">
        <x:v>1.096472836327928</x:v>
      </x:c>
      <x:c r="Y19" s="55" t="n">
        <x:v>0.5303948644859657</x:v>
      </x:c>
      <x:c r="Z19" s="55" t="n">
        <x:v>0.8608834106259556</x:v>
      </x:c>
      <x:c r="AA19" s="54" t="n">
        <x:v>495356.7674401172</x:v>
      </x:c>
      <x:c r="AB19" s="54" t="n">
        <x:v>1068618.7825967146</x:v>
      </x:c>
      <x:c r="AC19" s="54" t="n">
        <x:v>171229.38762066324</x:v>
      </x:c>
      <x:c r="AD19" s="53" t="str">
        <x:v>NBS standard province order assigned for reconstruction; original r-index order unavailable</x:v>
      </x:c>
      <x:c r="AE19" s="53" t="str">
        <x:v>official public 2024 NBS transcription; not historical author input</x:v>
      </x:c>
      <x:c r="AF19" s="53" t="str">
        <x:v>calibrated reconstruction; not historical author input</x:v>
      </x:c>
    </x:row>
    <x:row r="20" ht="36" hidden="0" customHeight="1">
      <x:c r="A20" s="48" t="str">
        <x:v>r19</x:v>
      </x:c>
      <x:c r="B20" s="48" t="str">
        <x:v>CN-GD</x:v>
      </x:c>
      <x:c r="C20" s="48" t="str">
        <x:v>Guangdong</x:v>
      </x:c>
      <x:c r="D20" s="48" t="str">
        <x:v>广东</x:v>
      </x:c>
      <x:c r="E20" s="48" t="n">
        <x:v>2024</x:v>
      </x:c>
      <x:c r="F20" s="48" t="n">
        <x:v>966.4</x:v>
      </x:c>
      <x:c r="G20" s="48" t="n">
        <x:v>131.5</x:v>
      </x:c>
      <x:c r="H20" s="48" t="n">
        <x:v>7.2</x:v>
      </x:c>
      <x:c r="I20" s="48" t="n">
        <x:v>376.8</x:v>
      </x:c>
      <x:c r="J20" s="48" t="n">
        <x:v>450.8</x:v>
      </x:c>
      <x:c r="K20" s="54" t="n">
        <x:v>12780</x:v>
      </x:c>
      <x:c r="L20" s="54" t="n">
        <x:v>51474</x:v>
      </x:c>
      <x:c r="M20" s="54" t="n">
        <x:v>1706500</x:v>
      </x:c>
      <x:c r="N20" s="54" t="n">
        <x:v>33917</x:v>
      </x:c>
      <x:c r="O20" s="54" t="n">
        <x:v>371959</x:v>
      </x:c>
      <x:c r="P20" s="54" t="n">
        <x:v>215442</x:v>
      </x:c>
      <x:c r="Q20" s="54" t="n">
        <x:v>27520</x:v>
      </x:c>
      <x:c r="R20" s="54" t="n">
        <x:v>53706.6</x:v>
      </x:c>
      <x:c r="S20" s="55" t="n">
        <x:v>0.12773739567957965</x:v>
      </x:c>
      <x:c r="T20" s="55" t="n">
        <x:v>0.13133537206931703</x:v>
      </x:c>
      <x:c r="U20" s="55" t="n">
        <x:v>0.9671996738022426</x:v>
      </x:c>
      <x:c r="V20" s="55" t="n">
        <x:v>0.45332317764958413</x:v>
      </x:c>
      <x:c r="W20" s="55" t="n">
        <x:v>1.2459214794016555</x:v>
      </x:c>
      <x:c r="X20" s="55" t="n">
        <x:v>0.802618797839686</x:v>
      </x:c>
      <x:c r="Y20" s="55" t="n">
        <x:v>0.3330900973978719</x:v>
      </x:c>
      <x:c r="Z20" s="55" t="n">
        <x:v>0.9614439749497273</x:v>
      </x:c>
      <x:c r="AA20" s="54" t="n">
        <x:v>1425838.2901814221</x:v>
      </x:c>
      <x:c r="AB20" s="54" t="n">
        <x:v>3659143.9370381194</x:v>
      </x:c>
      <x:c r="AC20" s="54" t="n">
        <x:v>2127031.81174881</x:v>
      </x:c>
      <x:c r="AD20" s="53" t="str">
        <x:v>NBS standard province order assigned for reconstruction; original r-index order unavailable</x:v>
      </x:c>
      <x:c r="AE20" s="53" t="str">
        <x:v>official public 2024 NBS transcription; not historical author input</x:v>
      </x:c>
      <x:c r="AF20" s="53" t="str">
        <x:v>calibrated reconstruction; not historical author input</x:v>
      </x:c>
    </x:row>
    <x:row r="21" ht="36" hidden="0" customHeight="1">
      <x:c r="A21" s="48" t="str">
        <x:v>r20</x:v>
      </x:c>
      <x:c r="B21" s="48" t="str">
        <x:v>CN-GX</x:v>
      </x:c>
      <x:c r="C21" s="48" t="str">
        <x:v>Guangxi</x:v>
      </x:c>
      <x:c r="D21" s="48" t="str">
        <x:v>广西</x:v>
      </x:c>
      <x:c r="E21" s="48" t="n">
        <x:v>2024</x:v>
      </x:c>
      <x:c r="F21" s="48" t="n">
        <x:v>388.7</x:v>
      </x:c>
      <x:c r="G21" s="48" t="n">
        <x:v>49.2</x:v>
      </x:c>
      <x:c r="H21" s="48" t="n">
        <x:v>7.6</x:v>
      </x:c>
      <x:c r="I21" s="48" t="n">
        <x:v>179.3</x:v>
      </x:c>
      <x:c r="J21" s="48" t="n">
        <x:v>152.6</x:v>
      </x:c>
      <x:c r="K21" s="54" t="n">
        <x:v>5013</x:v>
      </x:c>
      <x:c r="L21" s="54" t="n">
        <x:v>31125</x:v>
      </x:c>
      <x:c r="M21" s="54" t="n">
        <x:v>1005915</x:v>
      </x:c>
      <x:c r="N21" s="54" t="n">
        <x:v>25624</x:v>
      </x:c>
      <x:c r="O21" s="54" t="n">
        <x:v>237126</x:v>
      </x:c>
      <x:c r="P21" s="54" t="n">
        <x:v>29995</x:v>
      </x:c>
      <x:c r="Q21" s="54" t="n">
        <x:v>3393</x:v>
      </x:c>
      <x:c r="R21" s="54" t="n">
        <x:v>4789.4</x:v>
      </x:c>
      <x:c r="S21" s="55" t="n">
        <x:v>0.11311885314219036</x:v>
      </x:c>
      <x:c r="T21" s="55" t="n">
        <x:v>0.0528304451240231</x:v>
      </x:c>
      <x:c r="U21" s="55" t="n">
        <x:v>0.9671996738022426</x:v>
      </x:c>
      <x:c r="V21" s="55" t="n">
        <x:v>0.37821402386675584</x:v>
      </x:c>
      <x:c r="W21" s="55" t="n">
        <x:v>0.7533765793677688</x:v>
      </x:c>
      <x:c r="X21" s="55" t="n">
        <x:v>1.3273574297188755</x:v>
      </x:c>
      <x:c r="Y21" s="55" t="n">
        <x:v>0.4832400409131784</x:v>
      </x:c>
      <x:c r="Z21" s="55" t="n">
        <x:v>0.8602273044129157</x:v>
      </x:c>
      <x:c r="AA21" s="54" t="n">
        <x:v>570879.0398795869</x:v>
      </x:c>
      <x:c r="AB21" s="54" t="n">
        <x:v>1388197.2962235094</x:v>
      </x:c>
      <x:c r="AC21" s="54" t="n">
        <x:v>867065.583876537</x:v>
      </x:c>
      <x:c r="AD21" s="53" t="str">
        <x:v>NBS standard province order assigned for reconstruction; original r-index order unavailable</x:v>
      </x:c>
      <x:c r="AE21" s="53" t="str">
        <x:v>official public 2024 NBS transcription; not historical author input</x:v>
      </x:c>
      <x:c r="AF21" s="53" t="str">
        <x:v>calibrated reconstruction; not historical author input</x:v>
      </x:c>
    </x:row>
    <x:row r="22" ht="36" hidden="0" customHeight="1">
      <x:c r="A22" s="48" t="str">
        <x:v>r21</x:v>
      </x:c>
      <x:c r="B22" s="48" t="str">
        <x:v>CN-HI</x:v>
      </x:c>
      <x:c r="C22" s="48" t="str">
        <x:v>Hainan</x:v>
      </x:c>
      <x:c r="D22" s="48" t="str">
        <x:v>海南</x:v>
      </x:c>
      <x:c r="E22" s="48" t="n">
        <x:v>2024</x:v>
      </x:c>
      <x:c r="F22" s="48" t="n">
        <x:v>181.4</x:v>
      </x:c>
      <x:c r="G22" s="48" t="n">
        <x:v>101.3</x:v>
      </x:c>
      <x:c r="H22" s="48" t="n">
        <x:v>1.1</x:v>
      </x:c>
      <x:c r="I22" s="48" t="n">
        <x:v>30.6</x:v>
      </x:c>
      <x:c r="J22" s="48" t="n">
        <x:v>48.4</x:v>
      </x:c>
      <x:c r="K22" s="54" t="n">
        <x:v>1048</x:v>
      </x:c>
      <x:c r="L22" s="54" t="n">
        <x:v>34829</x:v>
      </x:c>
      <x:c r="M22" s="54" t="n">
        <x:v>175979</x:v>
      </x:c>
      <x:c r="N22" s="54" t="n">
        <x:v>4385</x:v>
      </x:c>
      <x:c r="O22" s="54" t="n">
        <x:v>39138</x:v>
      </x:c>
      <x:c r="P22" s="54" t="n">
        <x:v>7496</x:v>
      </x:c>
      <x:c r="Q22" s="54" t="n">
        <x:v>1115</x:v>
      </x:c>
      <x:c r="R22" s="54" t="n">
        <x:v>2983.1</x:v>
      </x:c>
      <x:c r="S22" s="55" t="n">
        <x:v>0.14874599786552828</x:v>
      </x:c>
      <x:c r="T22" s="55" t="n">
        <x:v>0.024655113829425757</x:v>
      </x:c>
      <x:c r="U22" s="55" t="n">
        <x:v>0.9671996738022426</x:v>
      </x:c>
      <x:c r="V22" s="55" t="n">
        <x:v>0.563891669883755</x:v>
      </x:c>
      <x:c r="W22" s="55" t="n">
        <x:v>0.8430314179212858</x:v>
      </x:c>
      <x:c r="X22" s="55" t="n">
        <x:v>1.1861954118694191</x:v>
      </x:c>
      <x:c r="Y22" s="55" t="n">
        <x:v>0.42569323520034785</x:v>
      </x:c>
      <x:c r="Z22" s="55" t="n">
        <x:v>0.45519995500526167</x:v>
      </x:c>
      <x:c r="AA22" s="54" t="n">
        <x:v>239414.63837035422</x:v>
      </x:c>
      <x:c r="AB22" s="54" t="n">
        <x:v>491512.68898010586</x:v>
      </x:c>
      <x:c r="AC22" s="54" t="n">
        <x:v>1267814.0045217758</x:v>
      </x:c>
      <x:c r="AD22" s="53" t="str">
        <x:v>NBS standard province order assigned for reconstruction; original r-index order unavailable</x:v>
      </x:c>
      <x:c r="AE22" s="53" t="str">
        <x:v>official public 2024 NBS transcription; not historical author input</x:v>
      </x:c>
      <x:c r="AF22" s="53" t="str">
        <x:v>calibrated reconstruction; not historical author input</x:v>
      </x:c>
    </x:row>
    <x:row r="23" ht="36" hidden="0" customHeight="1">
      <x:c r="A23" s="48" t="str">
        <x:v>r22</x:v>
      </x:c>
      <x:c r="B23" s="48" t="str">
        <x:v>CN-CQ</x:v>
      </x:c>
      <x:c r="C23" s="48" t="str">
        <x:v>Chongqing</x:v>
      </x:c>
      <x:c r="D23" s="48" t="str">
        <x:v>重庆</x:v>
      </x:c>
      <x:c r="E23" s="48" t="n">
        <x:v>2024</x:v>
      </x:c>
      <x:c r="F23" s="48" t="n">
        <x:v>61.2</x:v>
      </x:c>
      <x:c r="G23" s="48" t="n">
        <x:v>0</x:v>
      </x:c>
      <x:c r="H23" s="48" t="n">
        <x:v>0</x:v>
      </x:c>
      <x:c r="I23" s="48" t="n">
        <x:v>0</x:v>
      </x:c>
      <x:c r="J23" s="48" t="n">
        <x:v>61.2</x:v>
      </x:c>
      <x:c r="K23" s="54" t="n">
        <x:v>3190</x:v>
      </x:c>
      <x:c r="L23" s="54" t="n">
        <x:v>39713</x:v>
      </x:c>
      <x:c r="M23" s="54" t="n">
        <x:v>429462</x:v>
      </x:c>
      <x:c r="N23" s="54" t="n">
        <x:v>6565</x:v>
      </x:c>
      <x:c r="O23" s="54" t="n">
        <x:v>137534</x:v>
      </x:c>
      <x:c r="P23" s="54" t="n">
        <x:v>28526</x:v>
      </x:c>
      <x:c r="Q23" s="54" t="n">
        <x:v>4849</x:v>
      </x:c>
      <x:c r="R23" s="54" t="n">
        <x:v>12395.5</x:v>
      </x:c>
      <x:c r="S23" s="55" t="n">
        <x:v>0.16998527658977775</x:v>
      </x:c>
      <x:c r="T23" s="55" t="n">
        <x:v>0.008318042813455658</x:v>
      </x:c>
      <x:c r="U23" s="55" t="n">
        <x:v>0.9671996738022426</x:v>
      </x:c>
      <x:c r="V23" s="55" t="n">
        <x:v>0.6334841983317789</x:v>
      </x:c>
      <x:c r="W23" s="55" t="n">
        <x:v>0.9612480030982233</x:v>
      </x:c>
      <x:c r="X23" s="55" t="n">
        <x:v>1.0403142547780324</x:v>
      </x:c>
      <x:c r="Y23" s="55" t="n">
        <x:v>0.31459774850064587</x:v>
      </x:c>
      <x:c r="Z23" s="55" t="n">
        <x:v>0.7377580610334322</x:v>
      </x:c>
      <x:c r="AA23" s="54" t="n">
        <x:v>140083.37344449395</x:v>
      </x:c>
      <x:c r="AB23" s="54" t="n">
        <x:v>202620.34775473241</x:v>
      </x:c>
      <x:c r="AC23" s="54" t="n">
        <x:v>34803.183402140785</x:v>
      </x:c>
      <x:c r="AD23" s="53" t="str">
        <x:v>NBS standard province order assigned for reconstruction; original r-index order unavailable</x:v>
      </x:c>
      <x:c r="AE23" s="53" t="str">
        <x:v>official public 2024 NBS transcription; not historical author input</x:v>
      </x:c>
      <x:c r="AF23" s="53" t="str">
        <x:v>calibrated reconstruction; not historical author input</x:v>
      </x:c>
    </x:row>
    <x:row r="24" ht="36" hidden="0" customHeight="1">
      <x:c r="A24" s="48" t="str">
        <x:v>r23</x:v>
      </x:c>
      <x:c r="B24" s="48" t="str">
        <x:v>CN-SC</x:v>
      </x:c>
      <x:c r="C24" s="48" t="str">
        <x:v>Sichuan</x:v>
      </x:c>
      <x:c r="D24" s="48" t="str">
        <x:v>四川</x:v>
      </x:c>
      <x:c r="E24" s="48" t="n">
        <x:v>2024</x:v>
      </x:c>
      <x:c r="F24" s="48" t="n">
        <x:v>187.2</x:v>
      </x:c>
      <x:c r="G24" s="48" t="n">
        <x:v>0</x:v>
      </x:c>
      <x:c r="H24" s="48" t="n">
        <x:v>0</x:v>
      </x:c>
      <x:c r="I24" s="48" t="n">
        <x:v>0</x:v>
      </x:c>
      <x:c r="J24" s="48" t="n">
        <x:v>187.2</x:v>
      </x:c>
      <x:c r="K24" s="54" t="n">
        <x:v>8364</x:v>
      </x:c>
      <x:c r="L24" s="54" t="n">
        <x:v>34325</x:v>
      </x:c>
      <x:c r="M24" s="54" t="n">
        <x:v>1473764</x:v>
      </x:c>
      <x:c r="N24" s="54" t="n">
        <x:v>21037</x:v>
      </x:c>
      <x:c r="O24" s="54" t="n">
        <x:v>206296</x:v>
      </x:c>
      <x:c r="P24" s="54" t="n">
        <x:v>69448</x:v>
      </x:c>
      <x:c r="Q24" s="54" t="n">
        <x:v>9132</x:v>
      </x:c>
      <x:c r="R24" s="54" t="n">
        <x:v>12342.5</x:v>
      </x:c>
      <x:c r="S24" s="55" t="n">
        <x:v>0.13149406750374382</x:v>
      </x:c>
      <x:c r="T24" s="55" t="n">
        <x:v>0.0254434250764526</x:v>
      </x:c>
      <x:c r="U24" s="55" t="n">
        <x:v>0.9671996738022426</x:v>
      </x:c>
      <x:c r="V24" s="55" t="n">
        <x:v>0.43510878700319344</x:v>
      </x:c>
      <x:c r="W24" s="55" t="n">
        <x:v>0.8308321634312824</x:v>
      </x:c>
      <x:c r="X24" s="55" t="n">
        <x:v>1.2036125273124545</x:v>
      </x:c>
      <x:c r="Y24" s="55" t="n">
        <x:v>0.39311963064445243</x:v>
      </x:c>
      <x:c r="Z24" s="55" t="n">
        <x:v>0.8289131021476875</x:v>
      </x:c>
      <x:c r="AA24" s="54" t="n">
        <x:v>399348.72748089634</x:v>
      </x:c>
      <x:c r="AB24" s="54" t="n">
        <x:v>656089.8127544336</x:v>
      </x:c>
      <x:c r="AC24" s="54" t="n">
        <x:v>106456.79628890124</x:v>
      </x:c>
      <x:c r="AD24" s="53" t="str">
        <x:v>NBS standard province order assigned for reconstruction; original r-index order unavailable</x:v>
      </x:c>
      <x:c r="AE24" s="53" t="str">
        <x:v>official public 2024 NBS transcription; not historical author input</x:v>
      </x:c>
      <x:c r="AF24" s="53" t="str">
        <x:v>calibrated reconstruction; not historical author input</x:v>
      </x:c>
    </x:row>
    <x:row r="25" ht="36" hidden="0" customHeight="1">
      <x:c r="A25" s="48" t="str">
        <x:v>r24</x:v>
      </x:c>
      <x:c r="B25" s="48" t="str">
        <x:v>CN-GZ</x:v>
      </x:c>
      <x:c r="C25" s="48" t="str">
        <x:v>Guizhou</x:v>
      </x:c>
      <x:c r="D25" s="48" t="str">
        <x:v>贵州</x:v>
      </x:c>
      <x:c r="E25" s="48" t="n">
        <x:v>2024</x:v>
      </x:c>
      <x:c r="F25" s="48" t="n">
        <x:v>29.5</x:v>
      </x:c>
      <x:c r="G25" s="48" t="n">
        <x:v>0</x:v>
      </x:c>
      <x:c r="H25" s="48" t="n">
        <x:v>0.4</x:v>
      </x:c>
      <x:c r="I25" s="48" t="n">
        <x:v>0</x:v>
      </x:c>
      <x:c r="J25" s="48" t="n">
        <x:v>29.1</x:v>
      </x:c>
      <x:c r="K25" s="54" t="n">
        <x:v>3860</x:v>
      </x:c>
      <x:c r="L25" s="54" t="n">
        <x:v>28561</x:v>
      </x:c>
      <x:c r="M25" s="54" t="n">
        <x:v>1179543</x:v>
      </x:c>
      <x:c r="N25" s="54" t="n">
        <x:v>15993</x:v>
      </x:c>
      <x:c r="O25" s="54" t="n">
        <x:v>113446</x:v>
      </x:c>
      <x:c r="P25" s="54" t="n">
        <x:v>19832</x:v>
      </x:c>
      <x:c r="Q25" s="54" t="n">
        <x:v>2371</x:v>
      </x:c>
      <x:c r="R25" s="54" t="n">
        <x:v>5613.9</x:v>
      </x:c>
      <x:c r="S25" s="55" t="n">
        <x:v>0.1195542557482856</x:v>
      </x:c>
      <x:c r="T25" s="55" t="n">
        <x:v>0.004009514101257221</x:v>
      </x:c>
      <x:c r="U25" s="55" t="n">
        <x:v>0.9671996738022426</x:v>
      </x:c>
      <x:c r="V25" s="55" t="n">
        <x:v>0.44410507867319804</x:v>
      </x:c>
      <x:c r="W25" s="55" t="n">
        <x:v>0.6913152926368785</x:v>
      </x:c>
      <x:c r="X25" s="55" t="n">
        <x:v>1.4465179790623577</x:v>
      </x:c>
      <x:c r="Y25" s="55" t="n">
        <x:v>0.560461594127253</x:v>
      </x:c>
      <x:c r="Z25" s="55" t="n">
        <x:v>0.6944685446513305</x:v>
      </x:c>
      <x:c r="AA25" s="54" t="n">
        <x:v>116084.62533507406</x:v>
      </x:c>
      <x:c r="AB25" s="54" t="n">
        <x:v>94950.96744433834</x:v>
      </x:c>
      <x:c r="AC25" s="54" t="n">
        <x:v>21325.480025821562</x:v>
      </x:c>
      <x:c r="AD25" s="53" t="str">
        <x:v>NBS standard province order assigned for reconstruction; original r-index order unavailable</x:v>
      </x:c>
      <x:c r="AE25" s="53" t="str">
        <x:v>official public 2024 NBS transcription; not historical author input</x:v>
      </x:c>
      <x:c r="AF25" s="53" t="str">
        <x:v>calibrated reconstruction; not historical author input</x:v>
      </x:c>
    </x:row>
    <x:row r="26" ht="36" hidden="0" customHeight="1">
      <x:c r="A26" s="48" t="str">
        <x:v>r25</x:v>
      </x:c>
      <x:c r="B26" s="48" t="str">
        <x:v>CN-YN</x:v>
      </x:c>
      <x:c r="C26" s="48" t="str">
        <x:v>Yunnan</x:v>
      </x:c>
      <x:c r="D26" s="48" t="str">
        <x:v>云南</x:v>
      </x:c>
      <x:c r="E26" s="48" t="n">
        <x:v>2024</x:v>
      </x:c>
      <x:c r="F26" s="48" t="n">
        <x:v>72</x:v>
      </x:c>
      <x:c r="G26" s="48" t="n">
        <x:v>0</x:v>
      </x:c>
      <x:c r="H26" s="48" t="n">
        <x:v>2.8</x:v>
      </x:c>
      <x:c r="I26" s="48" t="n">
        <x:v>0</x:v>
      </x:c>
      <x:c r="J26" s="48" t="n">
        <x:v>69.2</x:v>
      </x:c>
      <x:c r="K26" s="54" t="n">
        <x:v>4655</x:v>
      </x:c>
      <x:c r="L26" s="54" t="n">
        <x:v>29932</x:v>
      </x:c>
      <x:c r="M26" s="54" t="n">
        <x:v>772366</x:v>
      </x:c>
      <x:c r="N26" s="54" t="n">
        <x:v>12081</x:v>
      </x:c>
      <x:c r="O26" s="54" t="n">
        <x:v>149114</x:v>
      </x:c>
      <x:c r="P26" s="54" t="n">
        <x:v>26807</x:v>
      </x:c>
      <x:c r="Q26" s="54" t="n">
        <x:v>3302</x:v>
      </x:c>
      <x:c r="R26" s="54" t="n">
        <x:v>2774.5</x:v>
      </x:c>
      <x:c r="S26" s="55" t="n">
        <x:v>0.12317678218375798</x:v>
      </x:c>
      <x:c r="T26" s="55" t="n">
        <x:v>0.009785932721712538</x:v>
      </x:c>
      <x:c r="U26" s="55" t="n">
        <x:v>0.9671996738022426</x:v>
      </x:c>
      <x:c r="V26" s="55" t="n">
        <x:v>0.38145060048654467</x:v>
      </x:c>
      <x:c r="W26" s="55" t="n">
        <x:v>0.7245001694340901</x:v>
      </x:c>
      <x:c r="X26" s="55" t="n">
        <x:v>1.3802619270346117</x:v>
      </x:c>
      <x:c r="Y26" s="55" t="n">
        <x:v>0.38101040013482257</x:v>
      </x:c>
      <x:c r="Z26" s="55" t="n">
        <x:v>0.7559332439065971</x:v>
      </x:c>
      <x:c r="AA26" s="54" t="n">
        <x:v>183666.29791742834</x:v>
      </x:c>
      <x:c r="AB26" s="54" t="n">
        <x:v>241161.39821333138</x:v>
      </x:c>
      <x:c r="AC26" s="54" t="n">
        <x:v>72790.97182147093</x:v>
      </x:c>
      <x:c r="AD26" s="53" t="str">
        <x:v>NBS standard province order assigned for reconstruction; original r-index order unavailable</x:v>
      </x:c>
      <x:c r="AE26" s="53" t="str">
        <x:v>official public 2024 NBS transcription; not historical author input</x:v>
      </x:c>
      <x:c r="AF26" s="53" t="str">
        <x:v>calibrated reconstruction; not historical author input</x:v>
      </x:c>
    </x:row>
    <x:row r="27" ht="36" hidden="0" customHeight="1">
      <x:c r="A27" s="48" t="str">
        <x:v>r26</x:v>
      </x:c>
      <x:c r="B27" s="48" t="str">
        <x:v>CN-XZ</x:v>
      </x:c>
      <x:c r="C27" s="48" t="str">
        <x:v>Tibet</x:v>
      </x:c>
      <x:c r="D27" s="48" t="str">
        <x:v>西藏</x:v>
      </x:c>
      <x:c r="E27" s="48" t="n">
        <x:v>2024</x:v>
      </x:c>
      <x:c r="F27" s="48" t="n">
        <x:v>0.1</x:v>
      </x:c>
      <x:c r="G27" s="48" t="n">
        <x:v>0</x:v>
      </x:c>
      <x:c r="H27" s="48" t="n">
        <x:v>0</x:v>
      </x:c>
      <x:c r="I27" s="48" t="n">
        <x:v>0</x:v>
      </x:c>
      <x:c r="J27" s="48" t="n">
        <x:v>0</x:v>
      </x:c>
      <x:c r="K27" s="54" t="n">
        <x:v>370</x:v>
      </x:c>
      <x:c r="L27" s="54" t="n">
        <x:v>31358</x:v>
      </x:c>
      <x:c r="M27" s="54" t="n">
        <x:v>506406</x:v>
      </x:c>
      <x:c r="N27" s="54" t="n">
        <x:v>4228</x:v>
      </x:c>
      <x:c r="O27" s="54" t="n">
        <x:v>5167</x:v>
      </x:c>
      <x:c r="P27" s="54" t="n">
        <x:v>2440</x:v>
      </x:c>
      <x:c r="Q27" s="54" t="n">
        <x:v>278</x:v>
      </x:c>
      <x:c r="R27" s="54" t="n">
        <x:v>295.4</x:v>
      </x:c>
      <x:c r="S27" s="55" t="n">
        <x:v>0.1139344262295082</x:v>
      </x:c>
      <x:c r="T27" s="55" t="n">
        <x:v>0</x:v>
      </x:c>
      <x:c r="U27" s="55" t="n">
        <x:v>0.9671996738022426</x:v>
      </x:c>
      <x:c r="V27" s="55" t="n">
        <x:v>0.364149324754526</x:v>
      </x:c>
      <x:c r="W27" s="55" t="n">
        <x:v>0.7590163140823933</x:v>
      </x:c>
      <x:c r="X27" s="55" t="n">
        <x:v>1.3174947381848332</x:v>
      </x:c>
      <x:c r="Y27" s="55" t="n">
        <x:v>1</x:v>
      </x:c>
      <x:c r="Z27" s="55" t="n">
        <x:v>0</x:v>
      </x:c>
      <x:c r="AA27" s="54" t="n">
        <x:v>7736.814503512814</x:v>
      </x:c>
      <x:c r="AB27" s="54" t="n">
        <x:v>1</x:v>
      </x:c>
      <x:c r="AC27" s="54" t="n">
        <x:v>0</x:v>
      </x:c>
      <x:c r="AD27" s="53" t="str">
        <x:v>NBS standard province order assigned for reconstruction; original r-index order unavailable</x:v>
      </x:c>
      <x:c r="AE27" s="53" t="str">
        <x:v>official public 2024 NBS transcription; not historical author input</x:v>
      </x:c>
      <x:c r="AF27" s="53" t="str">
        <x:v>calibrated reconstruction; not historical author input</x:v>
      </x:c>
    </x:row>
    <x:row r="28" ht="36" hidden="0" customHeight="1">
      <x:c r="A28" s="48" t="str">
        <x:v>r27</x:v>
      </x:c>
      <x:c r="B28" s="48" t="str">
        <x:v>CN-SN</x:v>
      </x:c>
      <x:c r="C28" s="48" t="str">
        <x:v>Shaanxi</x:v>
      </x:c>
      <x:c r="D28" s="48" t="str">
        <x:v>陕西</x:v>
      </x:c>
      <x:c r="E28" s="48" t="n">
        <x:v>2024</x:v>
      </x:c>
      <x:c r="F28" s="48" t="n">
        <x:v>18.7</x:v>
      </x:c>
      <x:c r="G28" s="48" t="n">
        <x:v>0</x:v>
      </x:c>
      <x:c r="H28" s="48" t="n">
        <x:v>0</x:v>
      </x:c>
      <x:c r="I28" s="48" t="n">
        <x:v>0</x:v>
      </x:c>
      <x:c r="J28" s="48" t="n">
        <x:v>18.7</x:v>
      </x:c>
      <x:c r="K28" s="54" t="n">
        <x:v>3953</x:v>
      </x:c>
      <x:c r="L28" s="54" t="n">
        <x:v>33905</x:v>
      </x:c>
      <x:c r="M28" s="54" t="n">
        <x:v>400614</x:v>
      </x:c>
      <x:c r="N28" s="54" t="n">
        <x:v>4706</x:v>
      </x:c>
      <x:c r="O28" s="54" t="n">
        <x:v>188371</x:v>
      </x:c>
      <x:c r="P28" s="54" t="n">
        <x:v>34025</x:v>
      </x:c>
      <x:c r="Q28" s="54" t="n">
        <x:v>4165</x:v>
      </x:c>
      <x:c r="R28" s="54" t="n">
        <x:v>6857.4</x:v>
      </x:c>
      <x:c r="S28" s="55" t="n">
        <x:v>0.12240999265246143</x:v>
      </x:c>
      <x:c r="T28" s="55" t="n">
        <x:v>0.00254162419300034</x:v>
      </x:c>
      <x:c r="U28" s="55" t="n">
        <x:v>0.9671996738022426</x:v>
      </x:c>
      <x:c r="V28" s="55" t="n">
        <x:v>0.4202640945369132</x:v>
      </x:c>
      <x:c r="W28" s="55" t="n">
        <x:v>0.8206661180229462</x:v>
      </x:c>
      <x:c r="X28" s="55" t="n">
        <x:v>1.218522341837487</x:v>
      </x:c>
      <x:c r="Y28" s="55" t="n">
        <x:v>0.20954876707817896</x:v>
      </x:c>
      <x:c r="Z28" s="55" t="n">
        <x:v>0.8084764011845795</x:v>
      </x:c>
      <x:c r="AA28" s="54" t="n">
        <x:v>105079.96301476932</x:v>
      </x:c>
      <x:c r="AB28" s="54" t="n">
        <x:v>64725.697727397834</x:v>
      </x:c>
      <x:c r="AC28" s="54" t="n">
        <x:v>10634.30603954302</x:v>
      </x:c>
      <x:c r="AD28" s="53" t="str">
        <x:v>NBS standard province order assigned for reconstruction; original r-index order unavailable</x:v>
      </x:c>
      <x:c r="AE28" s="53" t="str">
        <x:v>official public 2024 NBS transcription; not historical author input</x:v>
      </x:c>
      <x:c r="AF28" s="53" t="str">
        <x:v>calibrated reconstruction; not historical author input</x:v>
      </x:c>
    </x:row>
    <x:row r="29" ht="36" hidden="0" customHeight="1">
      <x:c r="A29" s="48" t="str">
        <x:v>r28</x:v>
      </x:c>
      <x:c r="B29" s="48" t="str">
        <x:v>CN-GS</x:v>
      </x:c>
      <x:c r="C29" s="48" t="str">
        <x:v>Gansu</x:v>
      </x:c>
      <x:c r="D29" s="48" t="str">
        <x:v>甘肃</x:v>
      </x:c>
      <x:c r="E29" s="48" t="n">
        <x:v>2024</x:v>
      </x:c>
      <x:c r="F29" s="48" t="n">
        <x:v>1.7</x:v>
      </x:c>
      <x:c r="G29" s="48" t="n">
        <x:v>0</x:v>
      </x:c>
      <x:c r="H29" s="48" t="n">
        <x:v>0</x:v>
      </x:c>
      <x:c r="I29" s="48" t="n">
        <x:v>0</x:v>
      </x:c>
      <x:c r="J29" s="48" t="n">
        <x:v>1.7</x:v>
      </x:c>
      <x:c r="K29" s="54" t="n">
        <x:v>2458</x:v>
      </x:c>
      <x:c r="L29" s="54" t="n">
        <x:v>26612</x:v>
      </x:c>
      <x:c r="M29" s="54" t="n">
        <x:v>920791</x:v>
      </x:c>
      <x:c r="N29" s="54" t="n">
        <x:v>6804</x:v>
      </x:c>
      <x:c r="O29" s="54" t="n">
        <x:v>84024</x:v>
      </x:c>
      <x:c r="P29" s="54" t="n">
        <x:v>14002</x:v>
      </x:c>
      <x:c r="Q29" s="54" t="n">
        <x:v>1391</x:v>
      </x:c>
      <x:c r="R29" s="54" t="n">
        <x:v>1576.3</x:v>
      </x:c>
      <x:c r="S29" s="55" t="n">
        <x:v>0.099342951006999</x:v>
      </x:c>
      <x:c r="T29" s="55" t="n">
        <x:v>0.0002310567448182127</x:v>
      </x:c>
      <x:c r="U29" s="55" t="n">
        <x:v>0.9671996738022426</x:v>
      </x:c>
      <x:c r="V29" s="55" t="n">
        <x:v>0.3212096611692647</x:v>
      </x:c>
      <x:c r="W29" s="55" t="n">
        <x:v>0.65</x:v>
      </x:c>
      <x:c r="X29" s="55" t="n">
        <x:v>1.45</x:v>
      </x:c>
      <x:c r="Y29" s="55" t="n">
        <x:v>0.5920022743129795</x:v>
      </x:c>
      <x:c r="Z29" s="55" t="n">
        <x:v>0.6269695354977473</x:v>
      </x:c>
      <x:c r="AA29" s="54" t="n">
        <x:v>53435.859736869286</x:v>
      </x:c>
      <x:c r="AB29" s="54" t="n">
        <x:v>5227.584692847807</x:v>
      </x:c>
      <x:c r="AC29" s="54" t="n">
        <x:v>966.7550945039108</x:v>
      </x:c>
      <x:c r="AD29" s="53" t="str">
        <x:v>NBS standard province order assigned for reconstruction; original r-index order unavailable</x:v>
      </x:c>
      <x:c r="AE29" s="53" t="str">
        <x:v>official public 2024 NBS transcription; not historical author input</x:v>
      </x:c>
      <x:c r="AF29" s="53" t="str">
        <x:v>calibrated reconstruction; not historical author input</x:v>
      </x:c>
    </x:row>
    <x:row r="30" ht="36" hidden="0" customHeight="1">
      <x:c r="A30" s="48" t="str">
        <x:v>r29</x:v>
      </x:c>
      <x:c r="B30" s="48" t="str">
        <x:v>CN-QH</x:v>
      </x:c>
      <x:c r="C30" s="48" t="str">
        <x:v>Qinghai</x:v>
      </x:c>
      <x:c r="D30" s="48" t="str">
        <x:v>青海</x:v>
      </x:c>
      <x:c r="E30" s="48" t="n">
        <x:v>2024</x:v>
      </x:c>
      <x:c r="F30" s="48" t="n">
        <x:v>1.9</x:v>
      </x:c>
      <x:c r="G30" s="48" t="n">
        <x:v>0</x:v>
      </x:c>
      <x:c r="H30" s="48" t="n">
        <x:v>0.4</x:v>
      </x:c>
      <x:c r="I30" s="48" t="n">
        <x:v>0</x:v>
      </x:c>
      <x:c r="J30" s="48" t="n">
        <x:v>1.5</x:v>
      </x:c>
      <x:c r="K30" s="54" t="n">
        <x:v>593</x:v>
      </x:c>
      <x:c r="L30" s="54" t="n">
        <x:v>30117</x:v>
      </x:c>
      <x:c r="M30" s="54" t="n">
        <x:v>281929</x:v>
      </x:c>
      <x:c r="N30" s="54" t="n">
        <x:v>1456</x:v>
      </x:c>
      <x:c r="O30" s="54" t="n">
        <x:v>21137</x:v>
      </x:c>
      <x:c r="P30" s="54" t="n">
        <x:v>3147</x:v>
      </x:c>
      <x:c r="Q30" s="54" t="n">
        <x:v>359</x:v>
      </x:c>
      <x:c r="R30" s="54" t="n">
        <x:v>380.8</x:v>
      </x:c>
      <x:c r="S30" s="55" t="n">
        <x:v>0.11407689863361932</x:v>
      </x:c>
      <x:c r="T30" s="55" t="n">
        <x:v>0.0002582398912674142</x:v>
      </x:c>
      <x:c r="U30" s="55" t="n">
        <x:v>0.9671996738022426</x:v>
      </x:c>
      <x:c r="V30" s="55" t="n">
        <x:v>0.364506626719303</x:v>
      </x:c>
      <x:c r="W30" s="55" t="n">
        <x:v>0.728978070387762</x:v>
      </x:c>
      <x:c r="X30" s="55" t="n">
        <x:v>1.3717833781585151</x:v>
      </x:c>
      <x:c r="Y30" s="55" t="n">
        <x:v>0.6537572938238192</x:v>
      </x:c>
      <x:c r="Z30" s="55" t="n">
        <x:v>0.31669361971435855</x:v>
      </x:c>
      <x:c r="AA30" s="54" t="n">
        <x:v>14677.934819880486</x:v>
      </x:c>
      <x:c r="AB30" s="54" t="n">
        <x:v>4588.181820958523</x:v>
      </x:c>
      <x:c r="AC30" s="54" t="n">
        <x:v>5629.9267268168915</x:v>
      </x:c>
      <x:c r="AD30" s="53" t="str">
        <x:v>NBS standard province order assigned for reconstruction; original r-index order unavailable</x:v>
      </x:c>
      <x:c r="AE30" s="53" t="str">
        <x:v>official public 2024 NBS transcription; not historical author input</x:v>
      </x:c>
      <x:c r="AF30" s="53" t="str">
        <x:v>calibrated reconstruction; not historical author input</x:v>
      </x:c>
    </x:row>
    <x:row r="31" ht="36" hidden="0" customHeight="1">
      <x:c r="A31" s="48" t="str">
        <x:v>r30</x:v>
      </x:c>
      <x:c r="B31" s="48" t="str">
        <x:v>CN-NX</x:v>
      </x:c>
      <x:c r="C31" s="48" t="str">
        <x:v>Ningxia</x:v>
      </x:c>
      <x:c r="D31" s="48" t="str">
        <x:v>宁夏</x:v>
      </x:c>
      <x:c r="E31" s="48" t="n">
        <x:v>2024</x:v>
      </x:c>
      <x:c r="F31" s="48" t="n">
        <x:v>17.9</x:v>
      </x:c>
      <x:c r="G31" s="48" t="n">
        <x:v>0</x:v>
      </x:c>
      <x:c r="H31" s="48" t="n">
        <x:v>0.7</x:v>
      </x:c>
      <x:c r="I31" s="48" t="n">
        <x:v>0</x:v>
      </x:c>
      <x:c r="J31" s="48" t="n">
        <x:v>17.2</x:v>
      </x:c>
      <x:c r="K31" s="54" t="n">
        <x:v>729</x:v>
      </x:c>
      <x:c r="L31" s="54" t="n">
        <x:v>33355</x:v>
      </x:c>
      <x:c r="M31" s="54" t="n">
        <x:v>263736</x:v>
      </x:c>
      <x:c r="N31" s="54" t="n">
        <x:v>2469</x:v>
      </x:c>
      <x:c r="O31" s="54" t="n">
        <x:v>57966</x:v>
      </x:c>
      <x:c r="P31" s="54" t="n">
        <x:v>4903</x:v>
      </x:c>
      <x:c r="Q31" s="54" t="n">
        <x:v>541</x:v>
      </x:c>
      <x:c r="R31" s="54" t="n">
        <x:v>1015.2</x:v>
      </x:c>
      <x:c r="S31" s="55" t="n">
        <x:v>0.11034060779114828</x:v>
      </x:c>
      <x:c r="T31" s="55" t="n">
        <x:v>0.002432891607203534</x:v>
      </x:c>
      <x:c r="U31" s="55" t="n">
        <x:v>0.9671996738022426</x:v>
      </x:c>
      <x:c r="V31" s="55" t="n">
        <x:v>0.38996584680694857</x:v>
      </x:c>
      <x:c r="W31" s="55" t="n">
        <x:v>0.8073534395120299</x:v>
      </x:c>
      <x:c r="X31" s="55" t="n">
        <x:v>1.2386149003147955</x:v>
      </x:c>
      <x:c r="Y31" s="55" t="n">
        <x:v>0.591671610826583</x:v>
      </x:c>
      <x:c r="Z31" s="55" t="n">
        <x:v>0.543503247697986</x:v>
      </x:c>
      <x:c r="AA31" s="54" t="n">
        <x:v>36705.91631642474</x:v>
      </x:c>
      <x:c r="AB31" s="54" t="n">
        <x:v>51864.30082365826</x:v>
      </x:c>
      <x:c r="AC31" s="54" t="n">
        <x:v>18140.875008632207</x:v>
      </x:c>
      <x:c r="AD31" s="53" t="str">
        <x:v>NBS standard province order assigned for reconstruction; original r-index order unavailable</x:v>
      </x:c>
      <x:c r="AE31" s="53" t="str">
        <x:v>official public 2024 NBS transcription; not historical author input</x:v>
      </x:c>
      <x:c r="AF31" s="53" t="str">
        <x:v>calibrated reconstruction; not historical author input</x:v>
      </x:c>
    </x:row>
    <x:row r="32" ht="36" hidden="0" customHeight="1">
      <x:c r="A32" s="48" t="str">
        <x:v>r31</x:v>
      </x:c>
      <x:c r="B32" s="48" t="str">
        <x:v>CN-XJ</x:v>
      </x:c>
      <x:c r="C32" s="48" t="str">
        <x:v>Xinjiang</x:v>
      </x:c>
      <x:c r="D32" s="48" t="str">
        <x:v>新疆</x:v>
      </x:c>
      <x:c r="E32" s="48" t="n">
        <x:v>2024</x:v>
      </x:c>
      <x:c r="F32" s="48" t="n">
        <x:v>19.3</x:v>
      </x:c>
      <x:c r="G32" s="48" t="n">
        <x:v>0</x:v>
      </x:c>
      <x:c r="H32" s="48" t="n">
        <x:v>1.4</x:v>
      </x:c>
      <x:c r="I32" s="48" t="n">
        <x:v>0</x:v>
      </x:c>
      <x:c r="J32" s="48" t="n">
        <x:v>17.9</x:v>
      </x:c>
      <x:c r="K32" s="54" t="n">
        <x:v>2623</x:v>
      </x:c>
      <x:c r="L32" s="54" t="n">
        <x:v>30899</x:v>
      </x:c>
      <x:c r="M32" s="54" t="n">
        <x:v>704744</x:v>
      </x:c>
      <x:c r="N32" s="54" t="n">
        <x:v>6294</x:v>
      </x:c>
      <x:c r="O32" s="54" t="n">
        <x:v>111618</x:v>
      </x:c>
      <x:c r="P32" s="54" t="n">
        <x:v>22133</x:v>
      </x:c>
      <x:c r="Q32" s="54" t="n">
        <x:v>1970</x:v>
      </x:c>
      <x:c r="R32" s="54" t="n">
        <x:v>4876.2</x:v>
      </x:c>
      <x:c r="S32" s="55" t="n">
        <x:v>0.0890073645687435</x:v>
      </x:c>
      <x:c r="T32" s="55" t="n">
        <x:v>0.0026231736323479443</x:v>
      </x:c>
      <x:c r="U32" s="55" t="n">
        <x:v>0.9671996738022426</x:v>
      </x:c>
      <x:c r="V32" s="55" t="n">
        <x:v>0.3377691960621877</x:v>
      </x:c>
      <x:c r="W32" s="55" t="n">
        <x:v>0.7479062787432832</x:v>
      </x:c>
      <x:c r="X32" s="55" t="n">
        <x:v>1.337065924463575</x:v>
      </x:c>
      <x:c r="Y32" s="55" t="n">
        <x:v>0.49704364996502</x:v>
      </x:c>
      <x:c r="Z32" s="55" t="n">
        <x:v>0.690816285336741</x:v>
      </x:c>
      <x:c r="AA32" s="54" t="n">
        <x:v>77988.65814888984</x:v>
      </x:c>
      <x:c r="AB32" s="54" t="n">
        <x:v>61970.47502444286</x:v>
      </x:c>
      <x:c r="AC32" s="54" t="n">
        <x:v>26898.53880590293</x:v>
      </x:c>
      <x:c r="AD32" s="53" t="str">
        <x:v>NBS standard province order assigned for reconstruction; original r-index order unavailable</x:v>
      </x:c>
      <x:c r="AE32" s="53" t="str">
        <x:v>official public 2024 NBS transcription; not historical author input</x:v>
      </x:c>
      <x:c r="AF32" s="53" t="str">
        <x:v>calibrated reconstruction; not historical author input</x:v>
      </x:c>
    </x:row>
  </x:sheetData>
  <x:pageMargins left="0.7" right="0.7" top="0.75" bottom="0.75" header="0.3" footer="0.3"/>
  <x:tableParts count="1">
    <x:tablePart xmlns:r="http://schemas.openxmlformats.org/officeDocument/2006/relationships" r:id="Rf2b20d7445864b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8" hidden="0" customWidth="1"/>
    <x:col min="5" max="5" width="12" hidden="0" customWidth="1"/>
    <x:col min="6" max="6" width="7.630000114440918" hidden="0" customWidth="1"/>
    <x:col min="7" max="7" width="20" hidden="0" customWidth="1"/>
    <x:col min="8" max="8" width="7.880000114440918" hidden="0" customWidth="1"/>
    <x:col min="9" max="9" width="7.130000114440918" hidden="0" customWidth="1"/>
    <x:col min="10" max="10" width="19" hidden="0" customWidth="1"/>
    <x:col min="11" max="11" width="7.380000114440918" hidden="0" customWidth="1"/>
    <x:col min="12" max="12" width="22" hidden="0" customWidth="1"/>
    <x:col min="13" max="13" width="24" hidden="0" customWidth="1"/>
    <x:col min="14" max="14" width="20" hidden="0" customWidth="1"/>
    <x:col min="15" max="15" width="28" hidden="0" customWidth="1"/>
    <x:col min="16" max="16" width="24" hidden="0" customWidth="1"/>
    <x:col min="17" max="17" width="20" hidden="0" customWidth="1"/>
    <x:col min="18" max="18" width="21" hidden="0" customWidth="1"/>
    <x:col min="19" max="19" width="22" hidden="0" customWidth="1"/>
    <x:col min="20" max="20" width="24" hidden="0" customWidth="1"/>
    <x:col min="21" max="21" width="26" hidden="0" customWidth="1"/>
    <x:col min="22" max="22" width="28" hidden="0" customWidth="1"/>
    <x:col min="23" max="23" width="20" hidden="0" customWidth="1"/>
    <x:col min="24" max="24" width="28" hidden="0" customWidth="1"/>
    <x:col min="25" max="25" width="24" hidden="0" customWidth="1"/>
    <x:col min="26" max="26" width="24" hidden="0" customWidth="1"/>
    <x:col min="27" max="27" width="24" hidden="0" customWidth="1"/>
    <x:col min="28" max="28" width="22" hidden="0" customWidth="1"/>
    <x:col min="29" max="29" width="26" hidden="0" customWidth="1"/>
    <x:col min="30" max="30" width="28" hidden="0" customWidth="1"/>
    <x:col min="31" max="31" width="22" hidden="0" customWidth="1"/>
    <x:col min="32" max="32" width="24" hidden="0" customWidth="1"/>
    <x:col min="33" max="33" width="46" hidden="0" customWidth="1"/>
    <x:col min="34" max="34" width="40" hidden="0" customWidth="1"/>
  </x:cols>
  <x:sheetData>
    <x:row r="1" ht="42" hidden="0" customHeight="1">
      <x:c r="A1" s="52" t="str">
        <x:v>variable_id</x:v>
      </x:c>
      <x:c r="B1" s="52" t="str">
        <x:v>region_id</x:v>
      </x:c>
      <x:c r="C1" s="52" t="str">
        <x:v>province_code</x:v>
      </x:c>
      <x:c r="D1" s="52" t="str">
        <x:v>province_en</x:v>
      </x:c>
      <x:c r="E1" s="52" t="str">
        <x:v>province_zh</x:v>
      </x:c>
      <x:c r="F1" s="52" t="str">
        <x:v>sector_id</x:v>
      </x:c>
      <x:c r="G1" s="52" t="str">
        <x:v>sector_en</x:v>
      </x:c>
      <x:c r="H1" s="52" t="str">
        <x:v>sector_zh</x:v>
      </x:c>
      <x:c r="I1" s="52" t="str">
        <x:v>mode_id</x:v>
      </x:c>
      <x:c r="J1" s="52" t="str">
        <x:v>mode_en</x:v>
      </x:c>
      <x:c r="K1" s="52" t="str">
        <x:v>mode_zh</x:v>
      </x:c>
      <x:c r="L1" s="52" t="str">
        <x:v>official_2024_sector_tonnes</x:v>
      </x:c>
      <x:c r="M1" s="52" t="str">
        <x:v>paper_calibrated_sector_tonnes</x:v>
      </x:c>
      <x:c r="N1" s="52" t="str">
        <x:v>assumed_mode_share</x:v>
      </x:c>
      <x:c r="O1" s="52" t="str">
        <x:v>baseline_sector_mode_processed_tonnes</x:v>
      </x:c>
      <x:c r="P1" s="52" t="str">
        <x:v>upper_bound_processed_tonnes</x:v>
      </x:c>
      <x:c r="Q1" s="52" t="str">
        <x:v>region_share_processed</x:v>
      </x:c>
      <x:c r="R1" s="52" t="str">
        <x:v>digital_index_processed</x:v>
      </x:c>
      <x:c r="S1" s="52" t="str">
        <x:v>income_multiplier_processed</x:v>
      </x:c>
      <x:c r="T1" s="52" t="str">
        <x:v>social_need_multiplier_processed</x:v>
      </x:c>
      <x:c r="U1" s="52" t="str">
        <x:v>ecological_pressure_index_processed</x:v>
      </x:c>
      <x:c r="V1" s="52" t="str">
        <x:v>ecological_quality_multiplier_processed</x:v>
      </x:c>
      <x:c r="W1" s="52" t="str">
        <x:v>freight_index_processed</x:v>
      </x:c>
      <x:c r="X1" s="52" t="str">
        <x:v>logistics_cost_multiplier_processed</x:v>
      </x:c>
      <x:c r="Y1" s="52" t="str">
        <x:v>workforce_processed_people</x:v>
      </x:c>
      <x:c r="Z1" s="52" t="str">
        <x:v>cold_capacity_processed_tonnes</x:v>
      </x:c>
      <x:c r="AA1" s="52" t="str">
        <x:v>power_capacity_processed_kw</x:v>
      </x:c>
      <x:c r="AB1" s="52" t="str">
        <x:v>income_coefficient_proxy</x:v>
      </x:c>
      <x:c r="AC1" s="52" t="str">
        <x:v>marginal_value_coefficient_proxy</x:v>
      </x:c>
      <x:c r="AD1" s="52" t="str">
        <x:v>supply_chain_cost_coefficient_proxy</x:v>
      </x:c>
      <x:c r="AE1" s="52" t="str">
        <x:v>ecological_weight_proxy</x:v>
      </x:c>
      <x:c r="AF1" s="52" t="str">
        <x:v>fleet_power_coefficient_proxy</x:v>
      </x:c>
      <x:c r="AG1" s="52" t="str">
        <x:v>official_source</x:v>
      </x:c>
      <x:c r="AH1" s="52" t="str">
        <x:v>data_status</x:v>
      </x:c>
    </x:row>
    <x:row r="2" ht="32" hidden="0" customHeight="1">
      <x:c r="A2" s="48" t="str">
        <x:v>x_r01_s1_m1</x:v>
      </x:c>
      <x:c r="B2" s="48" t="str">
        <x:v>r01</x:v>
      </x:c>
      <x:c r="C2" s="48" t="str">
        <x:v>CN-BJ</x:v>
      </x:c>
      <x:c r="D2" s="48" t="str">
        <x:v>Beijing</x:v>
      </x:c>
      <x:c r="E2" s="48" t="str">
        <x:v>北京</x:v>
      </x:c>
      <x:c r="F2" s="48" t="n">
        <x:v>1</x:v>
      </x:c>
      <x:c r="G2" s="48" t="str">
        <x:v>marine_capture</x:v>
      </x:c>
      <x:c r="H2" s="48" t="str">
        <x:v>海洋捕捞</x:v>
      </x:c>
      <x:c r="I2" s="48" t="n">
        <x:v>1</x:v>
      </x:c>
      <x:c r="J2" s="48" t="str">
        <x:v>fresh_sales</x:v>
      </x:c>
      <x:c r="K2" s="48" t="str">
        <x:v>鲜销</x:v>
      </x:c>
      <x:c r="L2" s="54" t="n">
        <x:v>57000</x:v>
      </x:c>
      <x:c r="M2" s="54" t="n">
        <x:v>55130.38140672783</x:v>
      </x:c>
      <x:c r="N2" s="55" t="n">
        <x:v>0.62</x:v>
      </x:c>
      <x:c r="O2" s="54" t="n">
        <x:v>34180.83647217126</x:v>
      </x:c>
      <x:c r="P2" s="54" t="n">
        <x:v>41017.00376660551</x:v>
      </x:c>
      <x:c r="Q2" s="55" t="n">
        <x:v>0.0009650016989466531</x:v>
      </x:c>
      <x:c r="R2" s="55" t="n">
        <x:v>0.95</x:v>
      </x:c>
      <x:c r="S2" s="55" t="n">
        <x:v>1.45</x:v>
      </x:c>
      <x:c r="T2" s="55" t="n">
        <x:v>0.65</x:v>
      </x:c>
      <x:c r="U2" s="55" t="n">
        <x:v>0</x:v>
      </x:c>
      <x:c r="V2" s="55" t="n">
        <x:v>1</x:v>
      </x:c>
      <x:c r="W2" s="55" t="n">
        <x:v>0.30376755661287425</x:v>
      </x:c>
      <x:c r="X2" s="55" t="n">
        <x:v>1.0588697330161376</x:v>
      </x:c>
      <x:c r="Y2" s="54" t="n">
        <x:v>54160.185183365764</x:v>
      </x:c>
      <x:c r="Z2" s="54" t="n">
        <x:v>16950.02846284176</x:v>
      </x:c>
      <x:c r="AA2" s="54" t="n">
        <x:v>71141.80136614073</x:v>
      </x:c>
      <x:c r="AB2" s="55" t="n">
        <x:v>0.65</x:v>
      </x:c>
      <x:c r="AC2" s="55" t="n">
        <x:v>0.62</x:v>
      </x:c>
      <x:c r="AD2" s="55" t="n">
        <x:v>0.29</x:v>
      </x:c>
      <x:c r="AE2" s="55" t="n">
        <x:v>0.28</x:v>
      </x:c>
      <x:c r="AF2" s="55" t="n">
        <x:v>1</x:v>
      </x:c>
      <x:c r="AG2" s="53" t="str">
        <x:v>NBS China Statistical Yearbook 2025, Table 12-15</x:v>
      </x:c>
      <x:c r="AH2" s="53" t="str">
        <x:v>calibrated reconstruction; not historical author input</x:v>
      </x:c>
    </x:row>
    <x:row r="3" ht="32" hidden="0" customHeight="1">
      <x:c r="A3" s="48" t="str">
        <x:v>x_r01_s1_m2</x:v>
      </x:c>
      <x:c r="B3" s="48" t="str">
        <x:v>r01</x:v>
      </x:c>
      <x:c r="C3" s="48" t="str">
        <x:v>CN-BJ</x:v>
      </x:c>
      <x:c r="D3" s="48" t="str">
        <x:v>Beijing</x:v>
      </x:c>
      <x:c r="E3" s="48" t="str">
        <x:v>北京</x:v>
      </x:c>
      <x:c r="F3" s="48" t="n">
        <x:v>1</x:v>
      </x:c>
      <x:c r="G3" s="48" t="str">
        <x:v>marine_capture</x:v>
      </x:c>
      <x:c r="H3" s="48" t="str">
        <x:v>海洋捕捞</x:v>
      </x:c>
      <x:c r="I3" s="48" t="n">
        <x:v>2</x:v>
      </x:c>
      <x:c r="J3" s="48" t="str">
        <x:v>deep_processing</x:v>
      </x:c>
      <x:c r="K3" s="48" t="str">
        <x:v>深加工</x:v>
      </x:c>
      <x:c r="L3" s="54" t="n">
        <x:v>57000</x:v>
      </x:c>
      <x:c r="M3" s="54" t="n">
        <x:v>55130.38140672783</x:v>
      </x:c>
      <x:c r="N3" s="55" t="n">
        <x:v>0.38</x:v>
      </x:c>
      <x:c r="O3" s="54" t="n">
        <x:v>20949.544934556576</x:v>
      </x:c>
      <x:c r="P3" s="54" t="n">
        <x:v>25139.45392146789</x:v>
      </x:c>
      <x:c r="Q3" s="55" t="n">
        <x:v>0.0009650016989466531</x:v>
      </x:c>
      <x:c r="R3" s="55" t="n">
        <x:v>0.95</x:v>
      </x:c>
      <x:c r="S3" s="55" t="n">
        <x:v>1.45</x:v>
      </x:c>
      <x:c r="T3" s="55" t="n">
        <x:v>0.65</x:v>
      </x:c>
      <x:c r="U3" s="55" t="n">
        <x:v>0</x:v>
      </x:c>
      <x:c r="V3" s="55" t="n">
        <x:v>1</x:v>
      </x:c>
      <x:c r="W3" s="55" t="n">
        <x:v>0.30376755661287425</x:v>
      </x:c>
      <x:c r="X3" s="55" t="n">
        <x:v>1.0588697330161376</x:v>
      </x:c>
      <x:c r="Y3" s="54" t="n">
        <x:v>54160.185183365764</x:v>
      </x:c>
      <x:c r="Z3" s="54" t="n">
        <x:v>16950.02846284176</x:v>
      </x:c>
      <x:c r="AA3" s="54" t="n">
        <x:v>71141.80136614073</x:v>
      </x:c>
      <x:c r="AB3" s="55" t="n">
        <x:v>0.82</x:v>
      </x:c>
      <x:c r="AC3" s="55" t="n">
        <x:v>0.95</x:v>
      </x:c>
      <x:c r="AD3" s="55" t="n">
        <x:v>0.36</x:v>
      </x:c>
      <x:c r="AE3" s="55" t="n">
        <x:v>0.31</x:v>
      </x:c>
      <x:c r="AF3" s="55" t="n">
        <x:v>1</x:v>
      </x:c>
      <x:c r="AG3" s="53" t="str">
        <x:v>NBS China Statistical Yearbook 2025, Table 12-15</x:v>
      </x:c>
      <x:c r="AH3" s="53" t="str">
        <x:v>calibrated reconstruction; not historical author input</x:v>
      </x:c>
    </x:row>
    <x:row r="4" ht="32" hidden="0" customHeight="1">
      <x:c r="A4" s="48" t="str">
        <x:v>x_r01_s2_m1</x:v>
      </x:c>
      <x:c r="B4" s="48" t="str">
        <x:v>r01</x:v>
      </x:c>
      <x:c r="C4" s="48" t="str">
        <x:v>CN-BJ</x:v>
      </x:c>
      <x:c r="D4" s="48" t="str">
        <x:v>Beijing</x:v>
      </x:c>
      <x:c r="E4" s="48" t="str">
        <x:v>北京</x:v>
      </x:c>
      <x:c r="F4" s="48" t="n">
        <x:v>2</x:v>
      </x:c>
      <x:c r="G4" s="48" t="str">
        <x:v>freshwater_capture</x:v>
      </x:c>
      <x:c r="H4" s="48" t="str">
        <x:v>淡水捕捞</x:v>
      </x:c>
      <x:c r="I4" s="48" t="n">
        <x:v>1</x:v>
      </x:c>
      <x:c r="J4" s="48" t="str">
        <x:v>fresh_sales</x:v>
      </x:c>
      <x:c r="K4" s="48" t="str">
        <x:v>鲜销</x:v>
      </x:c>
      <x:c r="L4" s="54" t="n">
        <x:v>2000</x:v>
      </x:c>
      <x:c r="M4" s="54" t="n">
        <x:v>1934.3993476044852</x:v>
      </x:c>
      <x:c r="N4" s="55" t="n">
        <x:v>0.67</x:v>
      </x:c>
      <x:c r="O4" s="54" t="n">
        <x:v>1296.0475628950053</x:v>
      </x:c>
      <x:c r="P4" s="54" t="n">
        <x:v>1555.2570754740063</x:v>
      </x:c>
      <x:c r="Q4" s="55" t="n">
        <x:v>0.0009650016989466531</x:v>
      </x:c>
      <x:c r="R4" s="55" t="n">
        <x:v>0.95</x:v>
      </x:c>
      <x:c r="S4" s="55" t="n">
        <x:v>1.45</x:v>
      </x:c>
      <x:c r="T4" s="55" t="n">
        <x:v>0.65</x:v>
      </x:c>
      <x:c r="U4" s="55" t="n">
        <x:v>0</x:v>
      </x:c>
      <x:c r="V4" s="55" t="n">
        <x:v>1</x:v>
      </x:c>
      <x:c r="W4" s="55" t="n">
        <x:v>0.30376755661287425</x:v>
      </x:c>
      <x:c r="X4" s="55" t="n">
        <x:v>1.0588697330161376</x:v>
      </x:c>
      <x:c r="Y4" s="54" t="n">
        <x:v>54160.185183365764</x:v>
      </x:c>
      <x:c r="Z4" s="54" t="n">
        <x:v>16950.02846284176</x:v>
      </x:c>
      <x:c r="AA4" s="54" t="n">
        <x:v>71141.80136614073</x:v>
      </x:c>
      <x:c r="AB4" s="55" t="n">
        <x:v>0.7</x:v>
      </x:c>
      <x:c r="AC4" s="55" t="n">
        <x:v>0.67</x:v>
      </x:c>
      <x:c r="AD4" s="55" t="n">
        <x:v>0.26</x:v>
      </x:c>
      <x:c r="AE4" s="55" t="n">
        <x:v>0.42</x:v>
      </x:c>
      <x:c r="AF4" s="55" t="n">
        <x:v>0.7</x:v>
      </x:c>
      <x:c r="AG4" s="53" t="str">
        <x:v>NBS China Statistical Yearbook 2025, Table 12-15</x:v>
      </x:c>
      <x:c r="AH4" s="53" t="str">
        <x:v>calibrated reconstruction; not historical author input</x:v>
      </x:c>
    </x:row>
    <x:row r="5" ht="32" hidden="0" customHeight="1">
      <x:c r="A5" s="48" t="str">
        <x:v>x_r01_s2_m2</x:v>
      </x:c>
      <x:c r="B5" s="48" t="str">
        <x:v>r01</x:v>
      </x:c>
      <x:c r="C5" s="48" t="str">
        <x:v>CN-BJ</x:v>
      </x:c>
      <x:c r="D5" s="48" t="str">
        <x:v>Beijing</x:v>
      </x:c>
      <x:c r="E5" s="48" t="str">
        <x:v>北京</x:v>
      </x:c>
      <x:c r="F5" s="48" t="n">
        <x:v>2</x:v>
      </x:c>
      <x:c r="G5" s="48" t="str">
        <x:v>freshwater_capture</x:v>
      </x:c>
      <x:c r="H5" s="48" t="str">
        <x:v>淡水捕捞</x:v>
      </x:c>
      <x:c r="I5" s="48" t="n">
        <x:v>2</x:v>
      </x:c>
      <x:c r="J5" s="48" t="str">
        <x:v>deep_processing</x:v>
      </x:c>
      <x:c r="K5" s="48" t="str">
        <x:v>深加工</x:v>
      </x:c>
      <x:c r="L5" s="54" t="n">
        <x:v>2000</x:v>
      </x:c>
      <x:c r="M5" s="54" t="n">
        <x:v>1934.3993476044852</x:v>
      </x:c>
      <x:c r="N5" s="55" t="n">
        <x:v>0.33</x:v>
      </x:c>
      <x:c r="O5" s="54" t="n">
        <x:v>638.3517847094802</x:v>
      </x:c>
      <x:c r="P5" s="54" t="n">
        <x:v>766.0221416513762</x:v>
      </x:c>
      <x:c r="Q5" s="55" t="n">
        <x:v>0.0009650016989466531</x:v>
      </x:c>
      <x:c r="R5" s="55" t="n">
        <x:v>0.95</x:v>
      </x:c>
      <x:c r="S5" s="55" t="n">
        <x:v>1.45</x:v>
      </x:c>
      <x:c r="T5" s="55" t="n">
        <x:v>0.65</x:v>
      </x:c>
      <x:c r="U5" s="55" t="n">
        <x:v>0</x:v>
      </x:c>
      <x:c r="V5" s="55" t="n">
        <x:v>1</x:v>
      </x:c>
      <x:c r="W5" s="55" t="n">
        <x:v>0.30376755661287425</x:v>
      </x:c>
      <x:c r="X5" s="55" t="n">
        <x:v>1.0588697330161376</x:v>
      </x:c>
      <x:c r="Y5" s="54" t="n">
        <x:v>54160.185183365764</x:v>
      </x:c>
      <x:c r="Z5" s="54" t="n">
        <x:v>16950.02846284176</x:v>
      </x:c>
      <x:c r="AA5" s="54" t="n">
        <x:v>71141.80136614073</x:v>
      </x:c>
      <x:c r="AB5" s="55" t="n">
        <x:v>0.86</x:v>
      </x:c>
      <x:c r="AC5" s="55" t="n">
        <x:v>0.99</x:v>
      </x:c>
      <x:c r="AD5" s="55" t="n">
        <x:v>0.34</x:v>
      </x:c>
      <x:c r="AE5" s="55" t="n">
        <x:v>0.45</x:v>
      </x:c>
      <x:c r="AF5" s="55" t="n">
        <x:v>0.7</x:v>
      </x:c>
      <x:c r="AG5" s="53" t="str">
        <x:v>NBS China Statistical Yearbook 2025, Table 12-15</x:v>
      </x:c>
      <x:c r="AH5" s="53" t="str">
        <x:v>calibrated reconstruction; not historical author input</x:v>
      </x:c>
    </x:row>
    <x:row r="6" ht="32" hidden="0" customHeight="1">
      <x:c r="A6" s="48" t="str">
        <x:v>x_r01_s3_m1</x:v>
      </x:c>
      <x:c r="B6" s="48" t="str">
        <x:v>r01</x:v>
      </x:c>
      <x:c r="C6" s="48" t="str">
        <x:v>CN-BJ</x:v>
      </x:c>
      <x:c r="D6" s="48" t="str">
        <x:v>Beijing</x:v>
      </x:c>
      <x:c r="E6" s="48" t="str">
        <x:v>北京</x:v>
      </x:c>
      <x:c r="F6" s="48" t="n">
        <x:v>3</x:v>
      </x:c>
      <x:c r="G6" s="48" t="str">
        <x:v>marine_aquaculture</x:v>
      </x:c>
      <x:c r="H6" s="48" t="str">
        <x:v>海水养殖</x:v>
      </x:c>
      <x:c r="I6" s="48" t="n">
        <x:v>1</x:v>
      </x:c>
      <x:c r="J6" s="48" t="str">
        <x:v>fresh_sales</x:v>
      </x:c>
      <x:c r="K6" s="48" t="str">
        <x:v>鲜销</x:v>
      </x:c>
      <x:c r="L6" s="54" t="n">
        <x:v>0</x:v>
      </x:c>
      <x:c r="M6" s="54" t="n">
        <x:v>0</x:v>
      </x:c>
      <x:c r="N6" s="55" t="n">
        <x:v>0.74</x:v>
      </x:c>
      <x:c r="O6" s="54" t="n">
        <x:v>0</x:v>
      </x:c>
      <x:c r="P6" s="54" t="n">
        <x:v>0</x:v>
      </x:c>
      <x:c r="Q6" s="55" t="n">
        <x:v>0.0009650016989466531</x:v>
      </x:c>
      <x:c r="R6" s="55" t="n">
        <x:v>0.95</x:v>
      </x:c>
      <x:c r="S6" s="55" t="n">
        <x:v>1.45</x:v>
      </x:c>
      <x:c r="T6" s="55" t="n">
        <x:v>0.65</x:v>
      </x:c>
      <x:c r="U6" s="55" t="n">
        <x:v>0</x:v>
      </x:c>
      <x:c r="V6" s="55" t="n">
        <x:v>1</x:v>
      </x:c>
      <x:c r="W6" s="55" t="n">
        <x:v>0.30376755661287425</x:v>
      </x:c>
      <x:c r="X6" s="55" t="n">
        <x:v>1.0588697330161376</x:v>
      </x:c>
      <x:c r="Y6" s="54" t="n">
        <x:v>54160.185183365764</x:v>
      </x:c>
      <x:c r="Z6" s="54" t="n">
        <x:v>16950.02846284176</x:v>
      </x:c>
      <x:c r="AA6" s="54" t="n">
        <x:v>71141.80136614073</x:v>
      </x:c>
      <x:c r="AB6" s="55" t="n">
        <x:v>0.84</x:v>
      </x:c>
      <x:c r="AC6" s="55" t="n">
        <x:v>0.8</x:v>
      </x:c>
      <x:c r="AD6" s="55" t="n">
        <x:v>0.33</x:v>
      </x:c>
      <x:c r="AE6" s="55" t="n">
        <x:v>0.78</x:v>
      </x:c>
      <x:c r="AF6" s="55" t="n">
        <x:v>0.11</x:v>
      </x:c>
      <x:c r="AG6" s="53" t="str">
        <x:v>NBS China Statistical Yearbook 2025, Table 12-15</x:v>
      </x:c>
      <x:c r="AH6" s="53" t="str">
        <x:v>calibrated reconstruction; not historical author input</x:v>
      </x:c>
    </x:row>
    <x:row r="7" ht="32" hidden="0" customHeight="1">
      <x:c r="A7" s="48" t="str">
        <x:v>x_r01_s3_m2</x:v>
      </x:c>
      <x:c r="B7" s="48" t="str">
        <x:v>r01</x:v>
      </x:c>
      <x:c r="C7" s="48" t="str">
        <x:v>CN-BJ</x:v>
      </x:c>
      <x:c r="D7" s="48" t="str">
        <x:v>Beijing</x:v>
      </x:c>
      <x:c r="E7" s="48" t="str">
        <x:v>北京</x:v>
      </x:c>
      <x:c r="F7" s="48" t="n">
        <x:v>3</x:v>
      </x:c>
      <x:c r="G7" s="48" t="str">
        <x:v>marine_aquaculture</x:v>
      </x:c>
      <x:c r="H7" s="48" t="str">
        <x:v>海水养殖</x:v>
      </x:c>
      <x:c r="I7" s="48" t="n">
        <x:v>2</x:v>
      </x:c>
      <x:c r="J7" s="48" t="str">
        <x:v>deep_processing</x:v>
      </x:c>
      <x:c r="K7" s="48" t="str">
        <x:v>深加工</x:v>
      </x:c>
      <x:c r="L7" s="54" t="n">
        <x:v>0</x:v>
      </x:c>
      <x:c r="M7" s="54" t="n">
        <x:v>0</x:v>
      </x:c>
      <x:c r="N7" s="55" t="n">
        <x:v>0.26</x:v>
      </x:c>
      <x:c r="O7" s="54" t="n">
        <x:v>0</x:v>
      </x:c>
      <x:c r="P7" s="54" t="n">
        <x:v>0</x:v>
      </x:c>
      <x:c r="Q7" s="55" t="n">
        <x:v>0.0009650016989466531</x:v>
      </x:c>
      <x:c r="R7" s="55" t="n">
        <x:v>0.95</x:v>
      </x:c>
      <x:c r="S7" s="55" t="n">
        <x:v>1.45</x:v>
      </x:c>
      <x:c r="T7" s="55" t="n">
        <x:v>0.65</x:v>
      </x:c>
      <x:c r="U7" s="55" t="n">
        <x:v>0</x:v>
      </x:c>
      <x:c r="V7" s="55" t="n">
        <x:v>1</x:v>
      </x:c>
      <x:c r="W7" s="55" t="n">
        <x:v>0.30376755661287425</x:v>
      </x:c>
      <x:c r="X7" s="55" t="n">
        <x:v>1.0588697330161376</x:v>
      </x:c>
      <x:c r="Y7" s="54" t="n">
        <x:v>54160.185183365764</x:v>
      </x:c>
      <x:c r="Z7" s="54" t="n">
        <x:v>16950.02846284176</x:v>
      </x:c>
      <x:c r="AA7" s="54" t="n">
        <x:v>71141.80136614073</x:v>
      </x:c>
      <x:c r="AB7" s="55" t="n">
        <x:v>1.02</x:v>
      </x:c>
      <x:c r="AC7" s="55" t="n">
        <x:v>1.16</x:v>
      </x:c>
      <x:c r="AD7" s="55" t="n">
        <x:v>0.41</x:v>
      </x:c>
      <x:c r="AE7" s="55" t="n">
        <x:v>0.81</x:v>
      </x:c>
      <x:c r="AF7" s="55" t="n">
        <x:v>0.11</x:v>
      </x:c>
      <x:c r="AG7" s="53" t="str">
        <x:v>NBS China Statistical Yearbook 2025, Table 12-15</x:v>
      </x:c>
      <x:c r="AH7" s="53" t="str">
        <x:v>calibrated reconstruction; not historical author input</x:v>
      </x:c>
    </x:row>
    <x:row r="8" ht="32" hidden="0" customHeight="1">
      <x:c r="A8" s="48" t="str">
        <x:v>x_r01_s4_m1</x:v>
      </x:c>
      <x:c r="B8" s="48" t="str">
        <x:v>r01</x:v>
      </x:c>
      <x:c r="C8" s="48" t="str">
        <x:v>CN-BJ</x:v>
      </x:c>
      <x:c r="D8" s="48" t="str">
        <x:v>Beijing</x:v>
      </x:c>
      <x:c r="E8" s="48" t="str">
        <x:v>北京</x:v>
      </x:c>
      <x:c r="F8" s="48" t="n">
        <x:v>4</x:v>
      </x:c>
      <x:c r="G8" s="48" t="str">
        <x:v>freshwater_aquaculture</x:v>
      </x:c>
      <x:c r="H8" s="48" t="str">
        <x:v>淡水养殖</x:v>
      </x:c>
      <x:c r="I8" s="48" t="n">
        <x:v>1</x:v>
      </x:c>
      <x:c r="J8" s="48" t="str">
        <x:v>fresh_sales</x:v>
      </x:c>
      <x:c r="K8" s="48" t="str">
        <x:v>鲜销</x:v>
      </x:c>
      <x:c r="L8" s="54" t="n">
        <x:v>12000</x:v>
      </x:c>
      <x:c r="M8" s="54" t="n">
        <x:v>11606.396085626911</x:v>
      </x:c>
      <x:c r="N8" s="55" t="n">
        <x:v>0.78</x:v>
      </x:c>
      <x:c r="O8" s="54" t="n">
        <x:v>9052.988946788992</x:v>
      </x:c>
      <x:c r="P8" s="54" t="n">
        <x:v>10863.58673614679</x:v>
      </x:c>
      <x:c r="Q8" s="55" t="n">
        <x:v>0.0009650016989466531</x:v>
      </x:c>
      <x:c r="R8" s="55" t="n">
        <x:v>0.95</x:v>
      </x:c>
      <x:c r="S8" s="55" t="n">
        <x:v>1.45</x:v>
      </x:c>
      <x:c r="T8" s="55" t="n">
        <x:v>0.65</x:v>
      </x:c>
      <x:c r="U8" s="55" t="n">
        <x:v>0</x:v>
      </x:c>
      <x:c r="V8" s="55" t="n">
        <x:v>1</x:v>
      </x:c>
      <x:c r="W8" s="55" t="n">
        <x:v>0.30376755661287425</x:v>
      </x:c>
      <x:c r="X8" s="55" t="n">
        <x:v>1.0588697330161376</x:v>
      </x:c>
      <x:c r="Y8" s="54" t="n">
        <x:v>54160.185183365764</x:v>
      </x:c>
      <x:c r="Z8" s="54" t="n">
        <x:v>16950.02846284176</x:v>
      </x:c>
      <x:c r="AA8" s="54" t="n">
        <x:v>71141.80136614073</x:v>
      </x:c>
      <x:c r="AB8" s="55" t="n">
        <x:v>0.88</x:v>
      </x:c>
      <x:c r="AC8" s="55" t="n">
        <x:v>0.84</x:v>
      </x:c>
      <x:c r="AD8" s="55" t="n">
        <x:v>0.31</x:v>
      </x:c>
      <x:c r="AE8" s="55" t="n">
        <x:v>0.88</x:v>
      </x:c>
      <x:c r="AF8" s="55" t="n">
        <x:v>0.08</x:v>
      </x:c>
      <x:c r="AG8" s="53" t="str">
        <x:v>NBS China Statistical Yearbook 2025, Table 12-15</x:v>
      </x:c>
      <x:c r="AH8" s="53" t="str">
        <x:v>calibrated reconstruction; not historical author input</x:v>
      </x:c>
    </x:row>
    <x:row r="9" ht="32" hidden="0" customHeight="1">
      <x:c r="A9" s="48" t="str">
        <x:v>x_r01_s4_m2</x:v>
      </x:c>
      <x:c r="B9" s="48" t="str">
        <x:v>r01</x:v>
      </x:c>
      <x:c r="C9" s="48" t="str">
        <x:v>CN-BJ</x:v>
      </x:c>
      <x:c r="D9" s="48" t="str">
        <x:v>Beijing</x:v>
      </x:c>
      <x:c r="E9" s="48" t="str">
        <x:v>北京</x:v>
      </x:c>
      <x:c r="F9" s="48" t="n">
        <x:v>4</x:v>
      </x:c>
      <x:c r="G9" s="48" t="str">
        <x:v>freshwater_aquaculture</x:v>
      </x:c>
      <x:c r="H9" s="48" t="str">
        <x:v>淡水养殖</x:v>
      </x:c>
      <x:c r="I9" s="48" t="n">
        <x:v>2</x:v>
      </x:c>
      <x:c r="J9" s="48" t="str">
        <x:v>deep_processing</x:v>
      </x:c>
      <x:c r="K9" s="48" t="str">
        <x:v>深加工</x:v>
      </x:c>
      <x:c r="L9" s="54" t="n">
        <x:v>12000</x:v>
      </x:c>
      <x:c r="M9" s="54" t="n">
        <x:v>11606.396085626911</x:v>
      </x:c>
      <x:c r="N9" s="55" t="n">
        <x:v>0.22</x:v>
      </x:c>
      <x:c r="O9" s="54" t="n">
        <x:v>2553.4071388379207</x:v>
      </x:c>
      <x:c r="P9" s="54" t="n">
        <x:v>3064.0885666055046</x:v>
      </x:c>
      <x:c r="Q9" s="55" t="n">
        <x:v>0.0009650016989466531</x:v>
      </x:c>
      <x:c r="R9" s="55" t="n">
        <x:v>0.95</x:v>
      </x:c>
      <x:c r="S9" s="55" t="n">
        <x:v>1.45</x:v>
      </x:c>
      <x:c r="T9" s="55" t="n">
        <x:v>0.65</x:v>
      </x:c>
      <x:c r="U9" s="55" t="n">
        <x:v>0</x:v>
      </x:c>
      <x:c r="V9" s="55" t="n">
        <x:v>1</x:v>
      </x:c>
      <x:c r="W9" s="55" t="n">
        <x:v>0.30376755661287425</x:v>
      </x:c>
      <x:c r="X9" s="55" t="n">
        <x:v>1.0588697330161376</x:v>
      </x:c>
      <x:c r="Y9" s="54" t="n">
        <x:v>54160.185183365764</x:v>
      </x:c>
      <x:c r="Z9" s="54" t="n">
        <x:v>16950.02846284176</x:v>
      </x:c>
      <x:c r="AA9" s="54" t="n">
        <x:v>71141.80136614073</x:v>
      </x:c>
      <x:c r="AB9" s="55" t="n">
        <x:v>1.06</x:v>
      </x:c>
      <x:c r="AC9" s="55" t="n">
        <x:v>1.2</x:v>
      </x:c>
      <x:c r="AD9" s="55" t="n">
        <x:v>0.39</x:v>
      </x:c>
      <x:c r="AE9" s="55" t="n">
        <x:v>0.91</x:v>
      </x:c>
      <x:c r="AF9" s="55" t="n">
        <x:v>0.08</x:v>
      </x:c>
      <x:c r="AG9" s="53" t="str">
        <x:v>NBS China Statistical Yearbook 2025, Table 12-15</x:v>
      </x:c>
      <x:c r="AH9" s="53" t="str">
        <x:v>calibrated reconstruction; not historical author input</x:v>
      </x:c>
    </x:row>
    <x:row r="10" ht="32" hidden="0" customHeight="1">
      <x:c r="A10" s="48" t="str">
        <x:v>x_r02_s1_m1</x:v>
      </x:c>
      <x:c r="B10" s="48" t="str">
        <x:v>r02</x:v>
      </x:c>
      <x:c r="C10" s="48" t="str">
        <x:v>CN-TJ</x:v>
      </x:c>
      <x:c r="D10" s="48" t="str">
        <x:v>Tianjin</x:v>
      </x:c>
      <x:c r="E10" s="48" t="str">
        <x:v>天津</x:v>
      </x:c>
      <x:c r="F10" s="48" t="n">
        <x:v>1</x:v>
      </x:c>
      <x:c r="G10" s="48" t="str">
        <x:v>marine_capture</x:v>
      </x:c>
      <x:c r="H10" s="48" t="str">
        <x:v>海洋捕捞</x:v>
      </x:c>
      <x:c r="I10" s="48" t="n">
        <x:v>1</x:v>
      </x:c>
      <x:c r="J10" s="48" t="str">
        <x:v>fresh_sales</x:v>
      </x:c>
      <x:c r="K10" s="48" t="str">
        <x:v>鲜销</x:v>
      </x:c>
      <x:c r="L10" s="54" t="n">
        <x:v>33000</x:v>
      </x:c>
      <x:c r="M10" s="54" t="n">
        <x:v>31917.589235474006</x:v>
      </x:c>
      <x:c r="N10" s="55" t="n">
        <x:v>0.62</x:v>
      </x:c>
      <x:c r="O10" s="54" t="n">
        <x:v>19788.905325993885</x:v>
      </x:c>
      <x:c r="P10" s="54" t="n">
        <x:v>23746.68639119266</x:v>
      </x:c>
      <x:c r="Q10" s="55" t="n">
        <x:v>0.004063880394155624</x:v>
      </x:c>
      <x:c r="R10" s="55" t="n">
        <x:v>0.35692644996995165</x:v>
      </x:c>
      <x:c r="S10" s="55" t="n">
        <x:v>1.2969211405334753</x:v>
      </x:c>
      <x:c r="T10" s="55" t="n">
        <x:v>0.7710569044997294</x:v>
      </x:c>
      <x:c r="U10" s="55" t="n">
        <x:v>0.3020864039198392</x:v>
      </x:c>
      <x:c r="V10" s="55" t="n">
        <x:v>0.8942697586280562</x:v>
      </x:c>
      <x:c r="W10" s="55" t="n">
        <x:v>0.545956602640144</x:v>
      </x:c>
      <x:c r="X10" s="55" t="n">
        <x:v>0.9862130192079567</x:v>
      </x:c>
      <x:c r="Y10" s="54" t="n">
        <x:v>64372.097385785164</x:v>
      </x:c>
      <x:c r="Z10" s="54" t="n">
        <x:v>86789.75282040631</x:v>
      </x:c>
      <x:c r="AA10" s="54" t="n">
        <x:v>57948.43772349912</x:v>
      </x:c>
      <x:c r="AB10" s="55" t="n">
        <x:v>0.65</x:v>
      </x:c>
      <x:c r="AC10" s="55" t="n">
        <x:v>0.62</x:v>
      </x:c>
      <x:c r="AD10" s="55" t="n">
        <x:v>0.29</x:v>
      </x:c>
      <x:c r="AE10" s="55" t="n">
        <x:v>0.28</x:v>
      </x:c>
      <x:c r="AF10" s="55" t="n">
        <x:v>1</x:v>
      </x:c>
      <x:c r="AG10" s="53" t="str">
        <x:v>NBS China Statistical Yearbook 2025, Table 12-15</x:v>
      </x:c>
      <x:c r="AH10" s="53" t="str">
        <x:v>calibrated reconstruction; not historical author input</x:v>
      </x:c>
    </x:row>
    <x:row r="11" ht="32" hidden="0" customHeight="1">
      <x:c r="A11" s="48" t="str">
        <x:v>x_r02_s1_m2</x:v>
      </x:c>
      <x:c r="B11" s="48" t="str">
        <x:v>r02</x:v>
      </x:c>
      <x:c r="C11" s="48" t="str">
        <x:v>CN-TJ</x:v>
      </x:c>
      <x:c r="D11" s="48" t="str">
        <x:v>Tianjin</x:v>
      </x:c>
      <x:c r="E11" s="48" t="str">
        <x:v>天津</x:v>
      </x:c>
      <x:c r="F11" s="48" t="n">
        <x:v>1</x:v>
      </x:c>
      <x:c r="G11" s="48" t="str">
        <x:v>marine_capture</x:v>
      </x:c>
      <x:c r="H11" s="48" t="str">
        <x:v>海洋捕捞</x:v>
      </x:c>
      <x:c r="I11" s="48" t="n">
        <x:v>2</x:v>
      </x:c>
      <x:c r="J11" s="48" t="str">
        <x:v>deep_processing</x:v>
      </x:c>
      <x:c r="K11" s="48" t="str">
        <x:v>深加工</x:v>
      </x:c>
      <x:c r="L11" s="54" t="n">
        <x:v>33000</x:v>
      </x:c>
      <x:c r="M11" s="54" t="n">
        <x:v>31917.589235474006</x:v>
      </x:c>
      <x:c r="N11" s="55" t="n">
        <x:v>0.38</x:v>
      </x:c>
      <x:c r="O11" s="54" t="n">
        <x:v>12128.683909480122</x:v>
      </x:c>
      <x:c r="P11" s="54" t="n">
        <x:v>14554.420691376146</x:v>
      </x:c>
      <x:c r="Q11" s="55" t="n">
        <x:v>0.004063880394155624</x:v>
      </x:c>
      <x:c r="R11" s="55" t="n">
        <x:v>0.35692644996995165</x:v>
      </x:c>
      <x:c r="S11" s="55" t="n">
        <x:v>1.2969211405334753</x:v>
      </x:c>
      <x:c r="T11" s="55" t="n">
        <x:v>0.7710569044997294</x:v>
      </x:c>
      <x:c r="U11" s="55" t="n">
        <x:v>0.3020864039198392</x:v>
      </x:c>
      <x:c r="V11" s="55" t="n">
        <x:v>0.8942697586280562</x:v>
      </x:c>
      <x:c r="W11" s="55" t="n">
        <x:v>0.545956602640144</x:v>
      </x:c>
      <x:c r="X11" s="55" t="n">
        <x:v>0.9862130192079567</x:v>
      </x:c>
      <x:c r="Y11" s="54" t="n">
        <x:v>64372.097385785164</x:v>
      </x:c>
      <x:c r="Z11" s="54" t="n">
        <x:v>86789.75282040631</x:v>
      </x:c>
      <x:c r="AA11" s="54" t="n">
        <x:v>57948.43772349912</x:v>
      </x:c>
      <x:c r="AB11" s="55" t="n">
        <x:v>0.82</x:v>
      </x:c>
      <x:c r="AC11" s="55" t="n">
        <x:v>0.95</x:v>
      </x:c>
      <x:c r="AD11" s="55" t="n">
        <x:v>0.36</x:v>
      </x:c>
      <x:c r="AE11" s="55" t="n">
        <x:v>0.31</x:v>
      </x:c>
      <x:c r="AF11" s="55" t="n">
        <x:v>1</x:v>
      </x:c>
      <x:c r="AG11" s="53" t="str">
        <x:v>NBS China Statistical Yearbook 2025, Table 12-15</x:v>
      </x:c>
      <x:c r="AH11" s="53" t="str">
        <x:v>calibrated reconstruction; not historical author input</x:v>
      </x:c>
    </x:row>
    <x:row r="12" ht="32" hidden="0" customHeight="1">
      <x:c r="A12" s="48" t="str">
        <x:v>x_r02_s2_m1</x:v>
      </x:c>
      <x:c r="B12" s="48" t="str">
        <x:v>r02</x:v>
      </x:c>
      <x:c r="C12" s="48" t="str">
        <x:v>CN-TJ</x:v>
      </x:c>
      <x:c r="D12" s="48" t="str">
        <x:v>Tianjin</x:v>
      </x:c>
      <x:c r="E12" s="48" t="str">
        <x:v>天津</x:v>
      </x:c>
      <x:c r="F12" s="48" t="n">
        <x:v>2</x:v>
      </x:c>
      <x:c r="G12" s="48" t="str">
        <x:v>freshwater_capture</x:v>
      </x:c>
      <x:c r="H12" s="48" t="str">
        <x:v>淡水捕捞</x:v>
      </x:c>
      <x:c r="I12" s="48" t="n">
        <x:v>1</x:v>
      </x:c>
      <x:c r="J12" s="48" t="str">
        <x:v>fresh_sales</x:v>
      </x:c>
      <x:c r="K12" s="48" t="str">
        <x:v>鲜销</x:v>
      </x:c>
      <x:c r="L12" s="54" t="n">
        <x:v>3000</x:v>
      </x:c>
      <x:c r="M12" s="54" t="n">
        <x:v>2901.599021406728</x:v>
      </x:c>
      <x:c r="N12" s="55" t="n">
        <x:v>0.67</x:v>
      </x:c>
      <x:c r="O12" s="54" t="n">
        <x:v>1944.0713443425077</x:v>
      </x:c>
      <x:c r="P12" s="54" t="n">
        <x:v>2332.885613211009</x:v>
      </x:c>
      <x:c r="Q12" s="55" t="n">
        <x:v>0.004063880394155624</x:v>
      </x:c>
      <x:c r="R12" s="55" t="n">
        <x:v>0.35692644996995165</x:v>
      </x:c>
      <x:c r="S12" s="55" t="n">
        <x:v>1.2969211405334753</x:v>
      </x:c>
      <x:c r="T12" s="55" t="n">
        <x:v>0.7710569044997294</x:v>
      </x:c>
      <x:c r="U12" s="55" t="n">
        <x:v>0.3020864039198392</x:v>
      </x:c>
      <x:c r="V12" s="55" t="n">
        <x:v>0.8942697586280562</x:v>
      </x:c>
      <x:c r="W12" s="55" t="n">
        <x:v>0.545956602640144</x:v>
      </x:c>
      <x:c r="X12" s="55" t="n">
        <x:v>0.9862130192079567</x:v>
      </x:c>
      <x:c r="Y12" s="54" t="n">
        <x:v>64372.097385785164</x:v>
      </x:c>
      <x:c r="Z12" s="54" t="n">
        <x:v>86789.75282040631</x:v>
      </x:c>
      <x:c r="AA12" s="54" t="n">
        <x:v>57948.43772349912</x:v>
      </x:c>
      <x:c r="AB12" s="55" t="n">
        <x:v>0.7</x:v>
      </x:c>
      <x:c r="AC12" s="55" t="n">
        <x:v>0.67</x:v>
      </x:c>
      <x:c r="AD12" s="55" t="n">
        <x:v>0.26</x:v>
      </x:c>
      <x:c r="AE12" s="55" t="n">
        <x:v>0.42</x:v>
      </x:c>
      <x:c r="AF12" s="55" t="n">
        <x:v>0.7</x:v>
      </x:c>
      <x:c r="AG12" s="53" t="str">
        <x:v>NBS China Statistical Yearbook 2025, Table 12-15</x:v>
      </x:c>
      <x:c r="AH12" s="53" t="str">
        <x:v>calibrated reconstruction; not historical author input</x:v>
      </x:c>
    </x:row>
    <x:row r="13" ht="32" hidden="0" customHeight="1">
      <x:c r="A13" s="48" t="str">
        <x:v>x_r02_s2_m2</x:v>
      </x:c>
      <x:c r="B13" s="48" t="str">
        <x:v>r02</x:v>
      </x:c>
      <x:c r="C13" s="48" t="str">
        <x:v>CN-TJ</x:v>
      </x:c>
      <x:c r="D13" s="48" t="str">
        <x:v>Tianjin</x:v>
      </x:c>
      <x:c r="E13" s="48" t="str">
        <x:v>天津</x:v>
      </x:c>
      <x:c r="F13" s="48" t="n">
        <x:v>2</x:v>
      </x:c>
      <x:c r="G13" s="48" t="str">
        <x:v>freshwater_capture</x:v>
      </x:c>
      <x:c r="H13" s="48" t="str">
        <x:v>淡水捕捞</x:v>
      </x:c>
      <x:c r="I13" s="48" t="n">
        <x:v>2</x:v>
      </x:c>
      <x:c r="J13" s="48" t="str">
        <x:v>deep_processing</x:v>
      </x:c>
      <x:c r="K13" s="48" t="str">
        <x:v>深加工</x:v>
      </x:c>
      <x:c r="L13" s="54" t="n">
        <x:v>3000</x:v>
      </x:c>
      <x:c r="M13" s="54" t="n">
        <x:v>2901.599021406728</x:v>
      </x:c>
      <x:c r="N13" s="55" t="n">
        <x:v>0.33</x:v>
      </x:c>
      <x:c r="O13" s="54" t="n">
        <x:v>957.5276770642203</x:v>
      </x:c>
      <x:c r="P13" s="54" t="n">
        <x:v>1149.0332124770644</x:v>
      </x:c>
      <x:c r="Q13" s="55" t="n">
        <x:v>0.004063880394155624</x:v>
      </x:c>
      <x:c r="R13" s="55" t="n">
        <x:v>0.35692644996995165</x:v>
      </x:c>
      <x:c r="S13" s="55" t="n">
        <x:v>1.2969211405334753</x:v>
      </x:c>
      <x:c r="T13" s="55" t="n">
        <x:v>0.7710569044997294</x:v>
      </x:c>
      <x:c r="U13" s="55" t="n">
        <x:v>0.3020864039198392</x:v>
      </x:c>
      <x:c r="V13" s="55" t="n">
        <x:v>0.8942697586280562</x:v>
      </x:c>
      <x:c r="W13" s="55" t="n">
        <x:v>0.545956602640144</x:v>
      </x:c>
      <x:c r="X13" s="55" t="n">
        <x:v>0.9862130192079567</x:v>
      </x:c>
      <x:c r="Y13" s="54" t="n">
        <x:v>64372.097385785164</x:v>
      </x:c>
      <x:c r="Z13" s="54" t="n">
        <x:v>86789.75282040631</x:v>
      </x:c>
      <x:c r="AA13" s="54" t="n">
        <x:v>57948.43772349912</x:v>
      </x:c>
      <x:c r="AB13" s="55" t="n">
        <x:v>0.86</x:v>
      </x:c>
      <x:c r="AC13" s="55" t="n">
        <x:v>0.99</x:v>
      </x:c>
      <x:c r="AD13" s="55" t="n">
        <x:v>0.34</x:v>
      </x:c>
      <x:c r="AE13" s="55" t="n">
        <x:v>0.45</x:v>
      </x:c>
      <x:c r="AF13" s="55" t="n">
        <x:v>0.7</x:v>
      </x:c>
      <x:c r="AG13" s="53" t="str">
        <x:v>NBS China Statistical Yearbook 2025, Table 12-15</x:v>
      </x:c>
      <x:c r="AH13" s="53" t="str">
        <x:v>calibrated reconstruction; not historical author input</x:v>
      </x:c>
    </x:row>
    <x:row r="14" ht="32" hidden="0" customHeight="1">
      <x:c r="A14" s="48" t="str">
        <x:v>x_r02_s3_m1</x:v>
      </x:c>
      <x:c r="B14" s="48" t="str">
        <x:v>r02</x:v>
      </x:c>
      <x:c r="C14" s="48" t="str">
        <x:v>CN-TJ</x:v>
      </x:c>
      <x:c r="D14" s="48" t="str">
        <x:v>Tianjin</x:v>
      </x:c>
      <x:c r="E14" s="48" t="str">
        <x:v>天津</x:v>
      </x:c>
      <x:c r="F14" s="48" t="n">
        <x:v>3</x:v>
      </x:c>
      <x:c r="G14" s="48" t="str">
        <x:v>marine_aquaculture</x:v>
      </x:c>
      <x:c r="H14" s="48" t="str">
        <x:v>海水养殖</x:v>
      </x:c>
      <x:c r="I14" s="48" t="n">
        <x:v>1</x:v>
      </x:c>
      <x:c r="J14" s="48" t="str">
        <x:v>fresh_sales</x:v>
      </x:c>
      <x:c r="K14" s="48" t="str">
        <x:v>鲜销</x:v>
      </x:c>
      <x:c r="L14" s="54" t="n">
        <x:v>12000</x:v>
      </x:c>
      <x:c r="M14" s="54" t="n">
        <x:v>11606.396085626911</x:v>
      </x:c>
      <x:c r="N14" s="55" t="n">
        <x:v>0.74</x:v>
      </x:c>
      <x:c r="O14" s="54" t="n">
        <x:v>8588.733103363915</x:v>
      </x:c>
      <x:c r="P14" s="54" t="n">
        <x:v>10306.479724036697</x:v>
      </x:c>
      <x:c r="Q14" s="55" t="n">
        <x:v>0.004063880394155624</x:v>
      </x:c>
      <x:c r="R14" s="55" t="n">
        <x:v>0.35692644996995165</x:v>
      </x:c>
      <x:c r="S14" s="55" t="n">
        <x:v>1.2969211405334753</x:v>
      </x:c>
      <x:c r="T14" s="55" t="n">
        <x:v>0.7710569044997294</x:v>
      </x:c>
      <x:c r="U14" s="55" t="n">
        <x:v>0.3020864039198392</x:v>
      </x:c>
      <x:c r="V14" s="55" t="n">
        <x:v>0.8942697586280562</x:v>
      </x:c>
      <x:c r="W14" s="55" t="n">
        <x:v>0.545956602640144</x:v>
      </x:c>
      <x:c r="X14" s="55" t="n">
        <x:v>0.9862130192079567</x:v>
      </x:c>
      <x:c r="Y14" s="54" t="n">
        <x:v>64372.097385785164</x:v>
      </x:c>
      <x:c r="Z14" s="54" t="n">
        <x:v>86789.75282040631</x:v>
      </x:c>
      <x:c r="AA14" s="54" t="n">
        <x:v>57948.43772349912</x:v>
      </x:c>
      <x:c r="AB14" s="55" t="n">
        <x:v>0.84</x:v>
      </x:c>
      <x:c r="AC14" s="55" t="n">
        <x:v>0.8</x:v>
      </x:c>
      <x:c r="AD14" s="55" t="n">
        <x:v>0.33</x:v>
      </x:c>
      <x:c r="AE14" s="55" t="n">
        <x:v>0.78</x:v>
      </x:c>
      <x:c r="AF14" s="55" t="n">
        <x:v>0.11</x:v>
      </x:c>
      <x:c r="AG14" s="53" t="str">
        <x:v>NBS China Statistical Yearbook 2025, Table 12-15</x:v>
      </x:c>
      <x:c r="AH14" s="53" t="str">
        <x:v>calibrated reconstruction; not historical author input</x:v>
      </x:c>
    </x:row>
    <x:row r="15" ht="32" hidden="0" customHeight="1">
      <x:c r="A15" s="48" t="str">
        <x:v>x_r02_s3_m2</x:v>
      </x:c>
      <x:c r="B15" s="48" t="str">
        <x:v>r02</x:v>
      </x:c>
      <x:c r="C15" s="48" t="str">
        <x:v>CN-TJ</x:v>
      </x:c>
      <x:c r="D15" s="48" t="str">
        <x:v>Tianjin</x:v>
      </x:c>
      <x:c r="E15" s="48" t="str">
        <x:v>天津</x:v>
      </x:c>
      <x:c r="F15" s="48" t="n">
        <x:v>3</x:v>
      </x:c>
      <x:c r="G15" s="48" t="str">
        <x:v>marine_aquaculture</x:v>
      </x:c>
      <x:c r="H15" s="48" t="str">
        <x:v>海水养殖</x:v>
      </x:c>
      <x:c r="I15" s="48" t="n">
        <x:v>2</x:v>
      </x:c>
      <x:c r="J15" s="48" t="str">
        <x:v>deep_processing</x:v>
      </x:c>
      <x:c r="K15" s="48" t="str">
        <x:v>深加工</x:v>
      </x:c>
      <x:c r="L15" s="54" t="n">
        <x:v>12000</x:v>
      </x:c>
      <x:c r="M15" s="54" t="n">
        <x:v>11606.396085626911</x:v>
      </x:c>
      <x:c r="N15" s="55" t="n">
        <x:v>0.26</x:v>
      </x:c>
      <x:c r="O15" s="54" t="n">
        <x:v>3017.662982262997</x:v>
      </x:c>
      <x:c r="P15" s="54" t="n">
        <x:v>3621.195578715596</x:v>
      </x:c>
      <x:c r="Q15" s="55" t="n">
        <x:v>0.004063880394155624</x:v>
      </x:c>
      <x:c r="R15" s="55" t="n">
        <x:v>0.35692644996995165</x:v>
      </x:c>
      <x:c r="S15" s="55" t="n">
        <x:v>1.2969211405334753</x:v>
      </x:c>
      <x:c r="T15" s="55" t="n">
        <x:v>0.7710569044997294</x:v>
      </x:c>
      <x:c r="U15" s="55" t="n">
        <x:v>0.3020864039198392</x:v>
      </x:c>
      <x:c r="V15" s="55" t="n">
        <x:v>0.8942697586280562</x:v>
      </x:c>
      <x:c r="W15" s="55" t="n">
        <x:v>0.545956602640144</x:v>
      </x:c>
      <x:c r="X15" s="55" t="n">
        <x:v>0.9862130192079567</x:v>
      </x:c>
      <x:c r="Y15" s="54" t="n">
        <x:v>64372.097385785164</x:v>
      </x:c>
      <x:c r="Z15" s="54" t="n">
        <x:v>86789.75282040631</x:v>
      </x:c>
      <x:c r="AA15" s="54" t="n">
        <x:v>57948.43772349912</x:v>
      </x:c>
      <x:c r="AB15" s="55" t="n">
        <x:v>1.02</x:v>
      </x:c>
      <x:c r="AC15" s="55" t="n">
        <x:v>1.16</x:v>
      </x:c>
      <x:c r="AD15" s="55" t="n">
        <x:v>0.41</x:v>
      </x:c>
      <x:c r="AE15" s="55" t="n">
        <x:v>0.81</x:v>
      </x:c>
      <x:c r="AF15" s="55" t="n">
        <x:v>0.11</x:v>
      </x:c>
      <x:c r="AG15" s="53" t="str">
        <x:v>NBS China Statistical Yearbook 2025, Table 12-15</x:v>
      </x:c>
      <x:c r="AH15" s="53" t="str">
        <x:v>calibrated reconstruction; not historical author input</x:v>
      </x:c>
    </x:row>
    <x:row r="16" ht="32" hidden="0" customHeight="1">
      <x:c r="A16" s="48" t="str">
        <x:v>x_r02_s4_m1</x:v>
      </x:c>
      <x:c r="B16" s="48" t="str">
        <x:v>r02</x:v>
      </x:c>
      <x:c r="C16" s="48" t="str">
        <x:v>CN-TJ</x:v>
      </x:c>
      <x:c r="D16" s="48" t="str">
        <x:v>Tianjin</x:v>
      </x:c>
      <x:c r="E16" s="48" t="str">
        <x:v>天津</x:v>
      </x:c>
      <x:c r="F16" s="48" t="n">
        <x:v>4</x:v>
      </x:c>
      <x:c r="G16" s="48" t="str">
        <x:v>freshwater_aquaculture</x:v>
      </x:c>
      <x:c r="H16" s="48" t="str">
        <x:v>淡水养殖</x:v>
      </x:c>
      <x:c r="I16" s="48" t="n">
        <x:v>1</x:v>
      </x:c>
      <x:c r="J16" s="48" t="str">
        <x:v>fresh_sales</x:v>
      </x:c>
      <x:c r="K16" s="48" t="str">
        <x:v>鲜销</x:v>
      </x:c>
      <x:c r="L16" s="54" t="n">
        <x:v>251000</x:v>
      </x:c>
      <x:c r="M16" s="54" t="n">
        <x:v>242767.1181243629</x:v>
      </x:c>
      <x:c r="N16" s="55" t="n">
        <x:v>0.78</x:v>
      </x:c>
      <x:c r="O16" s="54" t="n">
        <x:v>189358.35213700306</x:v>
      </x:c>
      <x:c r="P16" s="54" t="n">
        <x:v>227230.02256440368</x:v>
      </x:c>
      <x:c r="Q16" s="55" t="n">
        <x:v>0.004063880394155624</x:v>
      </x:c>
      <x:c r="R16" s="55" t="n">
        <x:v>0.35692644996995165</x:v>
      </x:c>
      <x:c r="S16" s="55" t="n">
        <x:v>1.2969211405334753</x:v>
      </x:c>
      <x:c r="T16" s="55" t="n">
        <x:v>0.7710569044997294</x:v>
      </x:c>
      <x:c r="U16" s="55" t="n">
        <x:v>0.3020864039198392</x:v>
      </x:c>
      <x:c r="V16" s="55" t="n">
        <x:v>0.8942697586280562</x:v>
      </x:c>
      <x:c r="W16" s="55" t="n">
        <x:v>0.545956602640144</x:v>
      </x:c>
      <x:c r="X16" s="55" t="n">
        <x:v>0.9862130192079567</x:v>
      </x:c>
      <x:c r="Y16" s="54" t="n">
        <x:v>64372.097385785164</x:v>
      </x:c>
      <x:c r="Z16" s="54" t="n">
        <x:v>86789.75282040631</x:v>
      </x:c>
      <x:c r="AA16" s="54" t="n">
        <x:v>57948.43772349912</x:v>
      </x:c>
      <x:c r="AB16" s="55" t="n">
        <x:v>0.88</x:v>
      </x:c>
      <x:c r="AC16" s="55" t="n">
        <x:v>0.84</x:v>
      </x:c>
      <x:c r="AD16" s="55" t="n">
        <x:v>0.31</x:v>
      </x:c>
      <x:c r="AE16" s="55" t="n">
        <x:v>0.88</x:v>
      </x:c>
      <x:c r="AF16" s="55" t="n">
        <x:v>0.08</x:v>
      </x:c>
      <x:c r="AG16" s="53" t="str">
        <x:v>NBS China Statistical Yearbook 2025, Table 12-15</x:v>
      </x:c>
      <x:c r="AH16" s="53" t="str">
        <x:v>calibrated reconstruction; not historical author input</x:v>
      </x:c>
    </x:row>
    <x:row r="17" ht="32" hidden="0" customHeight="1">
      <x:c r="A17" s="48" t="str">
        <x:v>x_r02_s4_m2</x:v>
      </x:c>
      <x:c r="B17" s="48" t="str">
        <x:v>r02</x:v>
      </x:c>
      <x:c r="C17" s="48" t="str">
        <x:v>CN-TJ</x:v>
      </x:c>
      <x:c r="D17" s="48" t="str">
        <x:v>Tianjin</x:v>
      </x:c>
      <x:c r="E17" s="48" t="str">
        <x:v>天津</x:v>
      </x:c>
      <x:c r="F17" s="48" t="n">
        <x:v>4</x:v>
      </x:c>
      <x:c r="G17" s="48" t="str">
        <x:v>freshwater_aquaculture</x:v>
      </x:c>
      <x:c r="H17" s="48" t="str">
        <x:v>淡水养殖</x:v>
      </x:c>
      <x:c r="I17" s="48" t="n">
        <x:v>2</x:v>
      </x:c>
      <x:c r="J17" s="48" t="str">
        <x:v>deep_processing</x:v>
      </x:c>
      <x:c r="K17" s="48" t="str">
        <x:v>深加工</x:v>
      </x:c>
      <x:c r="L17" s="54" t="n">
        <x:v>251000</x:v>
      </x:c>
      <x:c r="M17" s="54" t="n">
        <x:v>242767.1181243629</x:v>
      </x:c>
      <x:c r="N17" s="55" t="n">
        <x:v>0.22</x:v>
      </x:c>
      <x:c r="O17" s="54" t="n">
        <x:v>53408.76598735984</x:v>
      </x:c>
      <x:c r="P17" s="54" t="n">
        <x:v>64090.519184831806</x:v>
      </x:c>
      <x:c r="Q17" s="55" t="n">
        <x:v>0.004063880394155624</x:v>
      </x:c>
      <x:c r="R17" s="55" t="n">
        <x:v>0.35692644996995165</x:v>
      </x:c>
      <x:c r="S17" s="55" t="n">
        <x:v>1.2969211405334753</x:v>
      </x:c>
      <x:c r="T17" s="55" t="n">
        <x:v>0.7710569044997294</x:v>
      </x:c>
      <x:c r="U17" s="55" t="n">
        <x:v>0.3020864039198392</x:v>
      </x:c>
      <x:c r="V17" s="55" t="n">
        <x:v>0.8942697586280562</x:v>
      </x:c>
      <x:c r="W17" s="55" t="n">
        <x:v>0.545956602640144</x:v>
      </x:c>
      <x:c r="X17" s="55" t="n">
        <x:v>0.9862130192079567</x:v>
      </x:c>
      <x:c r="Y17" s="54" t="n">
        <x:v>64372.097385785164</x:v>
      </x:c>
      <x:c r="Z17" s="54" t="n">
        <x:v>86789.75282040631</x:v>
      </x:c>
      <x:c r="AA17" s="54" t="n">
        <x:v>57948.43772349912</x:v>
      </x:c>
      <x:c r="AB17" s="55" t="n">
        <x:v>1.06</x:v>
      </x:c>
      <x:c r="AC17" s="55" t="n">
        <x:v>1.2</x:v>
      </x:c>
      <x:c r="AD17" s="55" t="n">
        <x:v>0.39</x:v>
      </x:c>
      <x:c r="AE17" s="55" t="n">
        <x:v>0.91</x:v>
      </x:c>
      <x:c r="AF17" s="55" t="n">
        <x:v>0.08</x:v>
      </x:c>
      <x:c r="AG17" s="53" t="str">
        <x:v>NBS China Statistical Yearbook 2025, Table 12-15</x:v>
      </x:c>
      <x:c r="AH17" s="53" t="str">
        <x:v>calibrated reconstruction; not historical author input</x:v>
      </x:c>
    </x:row>
    <x:row r="18" ht="32" hidden="0" customHeight="1">
      <x:c r="A18" s="48" t="str">
        <x:v>x_r03_s1_m1</x:v>
      </x:c>
      <x:c r="B18" s="48" t="str">
        <x:v>r03</x:v>
      </x:c>
      <x:c r="C18" s="48" t="str">
        <x:v>CN-HE</x:v>
      </x:c>
      <x:c r="D18" s="48" t="str">
        <x:v>Hebei</x:v>
      </x:c>
      <x:c r="E18" s="48" t="str">
        <x:v>河北</x:v>
      </x:c>
      <x:c r="F18" s="48" t="n">
        <x:v>1</x:v>
      </x:c>
      <x:c r="G18" s="48" t="str">
        <x:v>marine_capture</x:v>
      </x:c>
      <x:c r="H18" s="48" t="str">
        <x:v>海洋捕捞</x:v>
      </x:c>
      <x:c r="I18" s="48" t="n">
        <x:v>1</x:v>
      </x:c>
      <x:c r="J18" s="48" t="str">
        <x:v>fresh_sales</x:v>
      </x:c>
      <x:c r="K18" s="48" t="str">
        <x:v>鲜销</x:v>
      </x:c>
      <x:c r="L18" s="54" t="n">
        <x:v>221000</x:v>
      </x:c>
      <x:c r="M18" s="54" t="n">
        <x:v>213751.12791029562</x:v>
      </x:c>
      <x:c r="N18" s="55" t="n">
        <x:v>0.62</x:v>
      </x:c>
      <x:c r="O18" s="54" t="n">
        <x:v>132525.69930438328</x:v>
      </x:c>
      <x:c r="P18" s="54" t="n">
        <x:v>159030.83916525994</x:v>
      </x:c>
      <x:c r="Q18" s="55" t="n">
        <x:v>0.016038056405028884</x:v>
      </x:c>
      <x:c r="R18" s="55" t="n">
        <x:v>0.27551726499480167</x:v>
      </x:c>
      <x:c r="S18" s="55" t="n">
        <x:v>0.8390618192380307</x:v>
      </x:c>
      <x:c r="T18" s="55" t="n">
        <x:v>1.191807298427809</x:v>
      </x:c>
      <x:c r="U18" s="55" t="n">
        <x:v>0.4260619545237897</x:v>
      </x:c>
      <x:c r="V18" s="55" t="n">
        <x:v>0.8508783159166736</x:v>
      </x:c>
      <x:c r="W18" s="55" t="n">
        <x:v>0.8900091437354352</x:v>
      </x:c>
      <x:c r="X18" s="55" t="n">
        <x:v>0.8829972568793694</x:v>
      </x:c>
      <x:c r="Y18" s="54" t="n">
        <x:v>295759.58640159277</x:v>
      </x:c>
      <x:c r="Z18" s="54" t="n">
        <x:v>428901.18800469633</x:v>
      </x:c>
      <x:c r="AA18" s="54" t="n">
        <x:v>369641.65378090704</x:v>
      </x:c>
      <x:c r="AB18" s="55" t="n">
        <x:v>0.65</x:v>
      </x:c>
      <x:c r="AC18" s="55" t="n">
        <x:v>0.62</x:v>
      </x:c>
      <x:c r="AD18" s="55" t="n">
        <x:v>0.29</x:v>
      </x:c>
      <x:c r="AE18" s="55" t="n">
        <x:v>0.28</x:v>
      </x:c>
      <x:c r="AF18" s="55" t="n">
        <x:v>1</x:v>
      </x:c>
      <x:c r="AG18" s="53" t="str">
        <x:v>NBS China Statistical Yearbook 2025, Table 12-15</x:v>
      </x:c>
      <x:c r="AH18" s="53" t="str">
        <x:v>calibrated reconstruction; not historical author input</x:v>
      </x:c>
    </x:row>
    <x:row r="19" ht="32" hidden="0" customHeight="1">
      <x:c r="A19" s="48" t="str">
        <x:v>x_r03_s1_m2</x:v>
      </x:c>
      <x:c r="B19" s="48" t="str">
        <x:v>r03</x:v>
      </x:c>
      <x:c r="C19" s="48" t="str">
        <x:v>CN-HE</x:v>
      </x:c>
      <x:c r="D19" s="48" t="str">
        <x:v>Hebei</x:v>
      </x:c>
      <x:c r="E19" s="48" t="str">
        <x:v>河北</x:v>
      </x:c>
      <x:c r="F19" s="48" t="n">
        <x:v>1</x:v>
      </x:c>
      <x:c r="G19" s="48" t="str">
        <x:v>marine_capture</x:v>
      </x:c>
      <x:c r="H19" s="48" t="str">
        <x:v>海洋捕捞</x:v>
      </x:c>
      <x:c r="I19" s="48" t="n">
        <x:v>2</x:v>
      </x:c>
      <x:c r="J19" s="48" t="str">
        <x:v>deep_processing</x:v>
      </x:c>
      <x:c r="K19" s="48" t="str">
        <x:v>深加工</x:v>
      </x:c>
      <x:c r="L19" s="54" t="n">
        <x:v>221000</x:v>
      </x:c>
      <x:c r="M19" s="54" t="n">
        <x:v>213751.12791029562</x:v>
      </x:c>
      <x:c r="N19" s="55" t="n">
        <x:v>0.38</x:v>
      </x:c>
      <x:c r="O19" s="54" t="n">
        <x:v>81225.42860591234</x:v>
      </x:c>
      <x:c r="P19" s="54" t="n">
        <x:v>97470.5143270948</x:v>
      </x:c>
      <x:c r="Q19" s="55" t="n">
        <x:v>0.016038056405028884</x:v>
      </x:c>
      <x:c r="R19" s="55" t="n">
        <x:v>0.27551726499480167</x:v>
      </x:c>
      <x:c r="S19" s="55" t="n">
        <x:v>0.8390618192380307</x:v>
      </x:c>
      <x:c r="T19" s="55" t="n">
        <x:v>1.191807298427809</x:v>
      </x:c>
      <x:c r="U19" s="55" t="n">
        <x:v>0.4260619545237897</x:v>
      </x:c>
      <x:c r="V19" s="55" t="n">
        <x:v>0.8508783159166736</x:v>
      </x:c>
      <x:c r="W19" s="55" t="n">
        <x:v>0.8900091437354352</x:v>
      </x:c>
      <x:c r="X19" s="55" t="n">
        <x:v>0.8829972568793694</x:v>
      </x:c>
      <x:c r="Y19" s="54" t="n">
        <x:v>295759.58640159277</x:v>
      </x:c>
      <x:c r="Z19" s="54" t="n">
        <x:v>428901.18800469633</x:v>
      </x:c>
      <x:c r="AA19" s="54" t="n">
        <x:v>369641.65378090704</x:v>
      </x:c>
      <x:c r="AB19" s="55" t="n">
        <x:v>0.82</x:v>
      </x:c>
      <x:c r="AC19" s="55" t="n">
        <x:v>0.95</x:v>
      </x:c>
      <x:c r="AD19" s="55" t="n">
        <x:v>0.36</x:v>
      </x:c>
      <x:c r="AE19" s="55" t="n">
        <x:v>0.31</x:v>
      </x:c>
      <x:c r="AF19" s="55" t="n">
        <x:v>1</x:v>
      </x:c>
      <x:c r="AG19" s="53" t="str">
        <x:v>NBS China Statistical Yearbook 2025, Table 12-15</x:v>
      </x:c>
      <x:c r="AH19" s="53" t="str">
        <x:v>calibrated reconstruction; not historical author input</x:v>
      </x:c>
    </x:row>
    <x:row r="20" ht="32" hidden="0" customHeight="1">
      <x:c r="A20" s="48" t="str">
        <x:v>x_r03_s2_m1</x:v>
      </x:c>
      <x:c r="B20" s="48" t="str">
        <x:v>r03</x:v>
      </x:c>
      <x:c r="C20" s="48" t="str">
        <x:v>CN-HE</x:v>
      </x:c>
      <x:c r="D20" s="48" t="str">
        <x:v>Hebei</x:v>
      </x:c>
      <x:c r="E20" s="48" t="str">
        <x:v>河北</x:v>
      </x:c>
      <x:c r="F20" s="48" t="n">
        <x:v>2</x:v>
      </x:c>
      <x:c r="G20" s="48" t="str">
        <x:v>freshwater_capture</x:v>
      </x:c>
      <x:c r="H20" s="48" t="str">
        <x:v>淡水捕捞</x:v>
      </x:c>
      <x:c r="I20" s="48" t="n">
        <x:v>1</x:v>
      </x:c>
      <x:c r="J20" s="48" t="str">
        <x:v>fresh_sales</x:v>
      </x:c>
      <x:c r="K20" s="48" t="str">
        <x:v>鲜销</x:v>
      </x:c>
      <x:c r="L20" s="54" t="n">
        <x:v>45000</x:v>
      </x:c>
      <x:c r="M20" s="54" t="n">
        <x:v>43523.98532110092</x:v>
      </x:c>
      <x:c r="N20" s="55" t="n">
        <x:v>0.67</x:v>
      </x:c>
      <x:c r="O20" s="54" t="n">
        <x:v>29161.070165137615</x:v>
      </x:c>
      <x:c r="P20" s="54" t="n">
        <x:v>34993.284198165136</x:v>
      </x:c>
      <x:c r="Q20" s="55" t="n">
        <x:v>0.016038056405028884</x:v>
      </x:c>
      <x:c r="R20" s="55" t="n">
        <x:v>0.27551726499480167</x:v>
      </x:c>
      <x:c r="S20" s="55" t="n">
        <x:v>0.8390618192380307</x:v>
      </x:c>
      <x:c r="T20" s="55" t="n">
        <x:v>1.191807298427809</x:v>
      </x:c>
      <x:c r="U20" s="55" t="n">
        <x:v>0.4260619545237897</x:v>
      </x:c>
      <x:c r="V20" s="55" t="n">
        <x:v>0.8508783159166736</x:v>
      </x:c>
      <x:c r="W20" s="55" t="n">
        <x:v>0.8900091437354352</x:v>
      </x:c>
      <x:c r="X20" s="55" t="n">
        <x:v>0.8829972568793694</x:v>
      </x:c>
      <x:c r="Y20" s="54" t="n">
        <x:v>295759.58640159277</x:v>
      </x:c>
      <x:c r="Z20" s="54" t="n">
        <x:v>428901.18800469633</x:v>
      </x:c>
      <x:c r="AA20" s="54" t="n">
        <x:v>369641.65378090704</x:v>
      </x:c>
      <x:c r="AB20" s="55" t="n">
        <x:v>0.7</x:v>
      </x:c>
      <x:c r="AC20" s="55" t="n">
        <x:v>0.67</x:v>
      </x:c>
      <x:c r="AD20" s="55" t="n">
        <x:v>0.26</x:v>
      </x:c>
      <x:c r="AE20" s="55" t="n">
        <x:v>0.42</x:v>
      </x:c>
      <x:c r="AF20" s="55" t="n">
        <x:v>0.7</x:v>
      </x:c>
      <x:c r="AG20" s="53" t="str">
        <x:v>NBS China Statistical Yearbook 2025, Table 12-15</x:v>
      </x:c>
      <x:c r="AH20" s="53" t="str">
        <x:v>calibrated reconstruction; not historical author input</x:v>
      </x:c>
    </x:row>
    <x:row r="21" ht="32" hidden="0" customHeight="1">
      <x:c r="A21" s="48" t="str">
        <x:v>x_r03_s2_m2</x:v>
      </x:c>
      <x:c r="B21" s="48" t="str">
        <x:v>r03</x:v>
      </x:c>
      <x:c r="C21" s="48" t="str">
        <x:v>CN-HE</x:v>
      </x:c>
      <x:c r="D21" s="48" t="str">
        <x:v>Hebei</x:v>
      </x:c>
      <x:c r="E21" s="48" t="str">
        <x:v>河北</x:v>
      </x:c>
      <x:c r="F21" s="48" t="n">
        <x:v>2</x:v>
      </x:c>
      <x:c r="G21" s="48" t="str">
        <x:v>freshwater_capture</x:v>
      </x:c>
      <x:c r="H21" s="48" t="str">
        <x:v>淡水捕捞</x:v>
      </x:c>
      <x:c r="I21" s="48" t="n">
        <x:v>2</x:v>
      </x:c>
      <x:c r="J21" s="48" t="str">
        <x:v>deep_processing</x:v>
      </x:c>
      <x:c r="K21" s="48" t="str">
        <x:v>深加工</x:v>
      </x:c>
      <x:c r="L21" s="54" t="n">
        <x:v>45000</x:v>
      </x:c>
      <x:c r="M21" s="54" t="n">
        <x:v>43523.98532110092</x:v>
      </x:c>
      <x:c r="N21" s="55" t="n">
        <x:v>0.33</x:v>
      </x:c>
      <x:c r="O21" s="54" t="n">
        <x:v>14362.915155963303</x:v>
      </x:c>
      <x:c r="P21" s="54" t="n">
        <x:v>17235.49818715596</x:v>
      </x:c>
      <x:c r="Q21" s="55" t="n">
        <x:v>0.016038056405028884</x:v>
      </x:c>
      <x:c r="R21" s="55" t="n">
        <x:v>0.27551726499480167</x:v>
      </x:c>
      <x:c r="S21" s="55" t="n">
        <x:v>0.8390618192380307</x:v>
      </x:c>
      <x:c r="T21" s="55" t="n">
        <x:v>1.191807298427809</x:v>
      </x:c>
      <x:c r="U21" s="55" t="n">
        <x:v>0.4260619545237897</x:v>
      </x:c>
      <x:c r="V21" s="55" t="n">
        <x:v>0.8508783159166736</x:v>
      </x:c>
      <x:c r="W21" s="55" t="n">
        <x:v>0.8900091437354352</x:v>
      </x:c>
      <x:c r="X21" s="55" t="n">
        <x:v>0.8829972568793694</x:v>
      </x:c>
      <x:c r="Y21" s="54" t="n">
        <x:v>295759.58640159277</x:v>
      </x:c>
      <x:c r="Z21" s="54" t="n">
        <x:v>428901.18800469633</x:v>
      </x:c>
      <x:c r="AA21" s="54" t="n">
        <x:v>369641.65378090704</x:v>
      </x:c>
      <x:c r="AB21" s="55" t="n">
        <x:v>0.86</x:v>
      </x:c>
      <x:c r="AC21" s="55" t="n">
        <x:v>0.99</x:v>
      </x:c>
      <x:c r="AD21" s="55" t="n">
        <x:v>0.34</x:v>
      </x:c>
      <x:c r="AE21" s="55" t="n">
        <x:v>0.45</x:v>
      </x:c>
      <x:c r="AF21" s="55" t="n">
        <x:v>0.7</x:v>
      </x:c>
      <x:c r="AG21" s="53" t="str">
        <x:v>NBS China Statistical Yearbook 2025, Table 12-15</x:v>
      </x:c>
      <x:c r="AH21" s="53" t="str">
        <x:v>calibrated reconstruction; not historical author input</x:v>
      </x:c>
    </x:row>
    <x:row r="22" ht="32" hidden="0" customHeight="1">
      <x:c r="A22" s="48" t="str">
        <x:v>x_r03_s3_m1</x:v>
      </x:c>
      <x:c r="B22" s="48" t="str">
        <x:v>r03</x:v>
      </x:c>
      <x:c r="C22" s="48" t="str">
        <x:v>CN-HE</x:v>
      </x:c>
      <x:c r="D22" s="48" t="str">
        <x:v>Hebei</x:v>
      </x:c>
      <x:c r="E22" s="48" t="str">
        <x:v>河北</x:v>
      </x:c>
      <x:c r="F22" s="48" t="n">
        <x:v>3</x:v>
      </x:c>
      <x:c r="G22" s="48" t="str">
        <x:v>marine_aquaculture</x:v>
      </x:c>
      <x:c r="H22" s="48" t="str">
        <x:v>海水养殖</x:v>
      </x:c>
      <x:c r="I22" s="48" t="n">
        <x:v>1</x:v>
      </x:c>
      <x:c r="J22" s="48" t="str">
        <x:v>fresh_sales</x:v>
      </x:c>
      <x:c r="K22" s="48" t="str">
        <x:v>鲜销</x:v>
      </x:c>
      <x:c r="L22" s="54" t="n">
        <x:v>633000</x:v>
      </x:c>
      <x:c r="M22" s="54" t="n">
        <x:v>612237.3935168196</x:v>
      </x:c>
      <x:c r="N22" s="55" t="n">
        <x:v>0.74</x:v>
      </x:c>
      <x:c r="O22" s="54" t="n">
        <x:v>453055.6712024465</x:v>
      </x:c>
      <x:c r="P22" s="54" t="n">
        <x:v>543666.8054429358</x:v>
      </x:c>
      <x:c r="Q22" s="55" t="n">
        <x:v>0.016038056405028884</x:v>
      </x:c>
      <x:c r="R22" s="55" t="n">
        <x:v>0.27551726499480167</x:v>
      </x:c>
      <x:c r="S22" s="55" t="n">
        <x:v>0.8390618192380307</x:v>
      </x:c>
      <x:c r="T22" s="55" t="n">
        <x:v>1.191807298427809</x:v>
      </x:c>
      <x:c r="U22" s="55" t="n">
        <x:v>0.4260619545237897</x:v>
      </x:c>
      <x:c r="V22" s="55" t="n">
        <x:v>0.8508783159166736</x:v>
      </x:c>
      <x:c r="W22" s="55" t="n">
        <x:v>0.8900091437354352</x:v>
      </x:c>
      <x:c r="X22" s="55" t="n">
        <x:v>0.8829972568793694</x:v>
      </x:c>
      <x:c r="Y22" s="54" t="n">
        <x:v>295759.58640159277</x:v>
      </x:c>
      <x:c r="Z22" s="54" t="n">
        <x:v>428901.18800469633</x:v>
      </x:c>
      <x:c r="AA22" s="54" t="n">
        <x:v>369641.65378090704</x:v>
      </x:c>
      <x:c r="AB22" s="55" t="n">
        <x:v>0.84</x:v>
      </x:c>
      <x:c r="AC22" s="55" t="n">
        <x:v>0.8</x:v>
      </x:c>
      <x:c r="AD22" s="55" t="n">
        <x:v>0.33</x:v>
      </x:c>
      <x:c r="AE22" s="55" t="n">
        <x:v>0.78</x:v>
      </x:c>
      <x:c r="AF22" s="55" t="n">
        <x:v>0.11</x:v>
      </x:c>
      <x:c r="AG22" s="53" t="str">
        <x:v>NBS China Statistical Yearbook 2025, Table 12-15</x:v>
      </x:c>
      <x:c r="AH22" s="53" t="str">
        <x:v>calibrated reconstruction; not historical author input</x:v>
      </x:c>
    </x:row>
    <x:row r="23" ht="32" hidden="0" customHeight="1">
      <x:c r="A23" s="48" t="str">
        <x:v>x_r03_s3_m2</x:v>
      </x:c>
      <x:c r="B23" s="48" t="str">
        <x:v>r03</x:v>
      </x:c>
      <x:c r="C23" s="48" t="str">
        <x:v>CN-HE</x:v>
      </x:c>
      <x:c r="D23" s="48" t="str">
        <x:v>Hebei</x:v>
      </x:c>
      <x:c r="E23" s="48" t="str">
        <x:v>河北</x:v>
      </x:c>
      <x:c r="F23" s="48" t="n">
        <x:v>3</x:v>
      </x:c>
      <x:c r="G23" s="48" t="str">
        <x:v>marine_aquaculture</x:v>
      </x:c>
      <x:c r="H23" s="48" t="str">
        <x:v>海水养殖</x:v>
      </x:c>
      <x:c r="I23" s="48" t="n">
        <x:v>2</x:v>
      </x:c>
      <x:c r="J23" s="48" t="str">
        <x:v>deep_processing</x:v>
      </x:c>
      <x:c r="K23" s="48" t="str">
        <x:v>深加工</x:v>
      </x:c>
      <x:c r="L23" s="54" t="n">
        <x:v>633000</x:v>
      </x:c>
      <x:c r="M23" s="54" t="n">
        <x:v>612237.3935168196</x:v>
      </x:c>
      <x:c r="N23" s="55" t="n">
        <x:v>0.26</x:v>
      </x:c>
      <x:c r="O23" s="54" t="n">
        <x:v>159181.7223143731</x:v>
      </x:c>
      <x:c r="P23" s="54" t="n">
        <x:v>191018.0667772477</x:v>
      </x:c>
      <x:c r="Q23" s="55" t="n">
        <x:v>0.016038056405028884</x:v>
      </x:c>
      <x:c r="R23" s="55" t="n">
        <x:v>0.27551726499480167</x:v>
      </x:c>
      <x:c r="S23" s="55" t="n">
        <x:v>0.8390618192380307</x:v>
      </x:c>
      <x:c r="T23" s="55" t="n">
        <x:v>1.191807298427809</x:v>
      </x:c>
      <x:c r="U23" s="55" t="n">
        <x:v>0.4260619545237897</x:v>
      </x:c>
      <x:c r="V23" s="55" t="n">
        <x:v>0.8508783159166736</x:v>
      </x:c>
      <x:c r="W23" s="55" t="n">
        <x:v>0.8900091437354352</x:v>
      </x:c>
      <x:c r="X23" s="55" t="n">
        <x:v>0.8829972568793694</x:v>
      </x:c>
      <x:c r="Y23" s="54" t="n">
        <x:v>295759.58640159277</x:v>
      </x:c>
      <x:c r="Z23" s="54" t="n">
        <x:v>428901.18800469633</x:v>
      </x:c>
      <x:c r="AA23" s="54" t="n">
        <x:v>369641.65378090704</x:v>
      </x:c>
      <x:c r="AB23" s="55" t="n">
        <x:v>1.02</x:v>
      </x:c>
      <x:c r="AC23" s="55" t="n">
        <x:v>1.16</x:v>
      </x:c>
      <x:c r="AD23" s="55" t="n">
        <x:v>0.41</x:v>
      </x:c>
      <x:c r="AE23" s="55" t="n">
        <x:v>0.81</x:v>
      </x:c>
      <x:c r="AF23" s="55" t="n">
        <x:v>0.11</x:v>
      </x:c>
      <x:c r="AG23" s="53" t="str">
        <x:v>NBS China Statistical Yearbook 2025, Table 12-15</x:v>
      </x:c>
      <x:c r="AH23" s="53" t="str">
        <x:v>calibrated reconstruction; not historical author input</x:v>
      </x:c>
    </x:row>
    <x:row r="24" ht="32" hidden="0" customHeight="1">
      <x:c r="A24" s="48" t="str">
        <x:v>x_r03_s4_m1</x:v>
      </x:c>
      <x:c r="B24" s="48" t="str">
        <x:v>r03</x:v>
      </x:c>
      <x:c r="C24" s="48" t="str">
        <x:v>CN-HE</x:v>
      </x:c>
      <x:c r="D24" s="48" t="str">
        <x:v>Hebei</x:v>
      </x:c>
      <x:c r="E24" s="48" t="str">
        <x:v>河北</x:v>
      </x:c>
      <x:c r="F24" s="48" t="n">
        <x:v>4</x:v>
      </x:c>
      <x:c r="G24" s="48" t="str">
        <x:v>freshwater_aquaculture</x:v>
      </x:c>
      <x:c r="H24" s="48" t="str">
        <x:v>淡水养殖</x:v>
      </x:c>
      <x:c r="I24" s="48" t="n">
        <x:v>1</x:v>
      </x:c>
      <x:c r="J24" s="48" t="str">
        <x:v>fresh_sales</x:v>
      </x:c>
      <x:c r="K24" s="48" t="str">
        <x:v>鲜销</x:v>
      </x:c>
      <x:c r="L24" s="54" t="n">
        <x:v>281000</x:v>
      </x:c>
      <x:c r="M24" s="54" t="n">
        <x:v>271783.1083384302</x:v>
      </x:c>
      <x:c r="N24" s="55" t="n">
        <x:v>0.78</x:v>
      </x:c>
      <x:c r="O24" s="54" t="n">
        <x:v>211990.82450397554</x:v>
      </x:c>
      <x:c r="P24" s="54" t="n">
        <x:v>254388.98940477063</x:v>
      </x:c>
      <x:c r="Q24" s="55" t="n">
        <x:v>0.016038056405028884</x:v>
      </x:c>
      <x:c r="R24" s="55" t="n">
        <x:v>0.27551726499480167</x:v>
      </x:c>
      <x:c r="S24" s="55" t="n">
        <x:v>0.8390618192380307</x:v>
      </x:c>
      <x:c r="T24" s="55" t="n">
        <x:v>1.191807298427809</x:v>
      </x:c>
      <x:c r="U24" s="55" t="n">
        <x:v>0.4260619545237897</x:v>
      </x:c>
      <x:c r="V24" s="55" t="n">
        <x:v>0.8508783159166736</x:v>
      </x:c>
      <x:c r="W24" s="55" t="n">
        <x:v>0.8900091437354352</x:v>
      </x:c>
      <x:c r="X24" s="55" t="n">
        <x:v>0.8829972568793694</x:v>
      </x:c>
      <x:c r="Y24" s="54" t="n">
        <x:v>295759.58640159277</x:v>
      </x:c>
      <x:c r="Z24" s="54" t="n">
        <x:v>428901.18800469633</x:v>
      </x:c>
      <x:c r="AA24" s="54" t="n">
        <x:v>369641.65378090704</x:v>
      </x:c>
      <x:c r="AB24" s="55" t="n">
        <x:v>0.88</x:v>
      </x:c>
      <x:c r="AC24" s="55" t="n">
        <x:v>0.84</x:v>
      </x:c>
      <x:c r="AD24" s="55" t="n">
        <x:v>0.31</x:v>
      </x:c>
      <x:c r="AE24" s="55" t="n">
        <x:v>0.88</x:v>
      </x:c>
      <x:c r="AF24" s="55" t="n">
        <x:v>0.08</x:v>
      </x:c>
      <x:c r="AG24" s="53" t="str">
        <x:v>NBS China Statistical Yearbook 2025, Table 12-15</x:v>
      </x:c>
      <x:c r="AH24" s="53" t="str">
        <x:v>calibrated reconstruction; not historical author input</x:v>
      </x:c>
    </x:row>
    <x:row r="25" ht="32" hidden="0" customHeight="1">
      <x:c r="A25" s="48" t="str">
        <x:v>x_r03_s4_m2</x:v>
      </x:c>
      <x:c r="B25" s="48" t="str">
        <x:v>r03</x:v>
      </x:c>
      <x:c r="C25" s="48" t="str">
        <x:v>CN-HE</x:v>
      </x:c>
      <x:c r="D25" s="48" t="str">
        <x:v>Hebei</x:v>
      </x:c>
      <x:c r="E25" s="48" t="str">
        <x:v>河北</x:v>
      </x:c>
      <x:c r="F25" s="48" t="n">
        <x:v>4</x:v>
      </x:c>
      <x:c r="G25" s="48" t="str">
        <x:v>freshwater_aquaculture</x:v>
      </x:c>
      <x:c r="H25" s="48" t="str">
        <x:v>淡水养殖</x:v>
      </x:c>
      <x:c r="I25" s="48" t="n">
        <x:v>2</x:v>
      </x:c>
      <x:c r="J25" s="48" t="str">
        <x:v>deep_processing</x:v>
      </x:c>
      <x:c r="K25" s="48" t="str">
        <x:v>深加工</x:v>
      </x:c>
      <x:c r="L25" s="54" t="n">
        <x:v>281000</x:v>
      </x:c>
      <x:c r="M25" s="54" t="n">
        <x:v>271783.1083384302</x:v>
      </x:c>
      <x:c r="N25" s="55" t="n">
        <x:v>0.22</x:v>
      </x:c>
      <x:c r="O25" s="54" t="n">
        <x:v>59792.28383445464</x:v>
      </x:c>
      <x:c r="P25" s="54" t="n">
        <x:v>71750.74060134556</x:v>
      </x:c>
      <x:c r="Q25" s="55" t="n">
        <x:v>0.016038056405028884</x:v>
      </x:c>
      <x:c r="R25" s="55" t="n">
        <x:v>0.27551726499480167</x:v>
      </x:c>
      <x:c r="S25" s="55" t="n">
        <x:v>0.8390618192380307</x:v>
      </x:c>
      <x:c r="T25" s="55" t="n">
        <x:v>1.191807298427809</x:v>
      </x:c>
      <x:c r="U25" s="55" t="n">
        <x:v>0.4260619545237897</x:v>
      </x:c>
      <x:c r="V25" s="55" t="n">
        <x:v>0.8508783159166736</x:v>
      </x:c>
      <x:c r="W25" s="55" t="n">
        <x:v>0.8900091437354352</x:v>
      </x:c>
      <x:c r="X25" s="55" t="n">
        <x:v>0.8829972568793694</x:v>
      </x:c>
      <x:c r="Y25" s="54" t="n">
        <x:v>295759.58640159277</x:v>
      </x:c>
      <x:c r="Z25" s="54" t="n">
        <x:v>428901.18800469633</x:v>
      </x:c>
      <x:c r="AA25" s="54" t="n">
        <x:v>369641.65378090704</x:v>
      </x:c>
      <x:c r="AB25" s="55" t="n">
        <x:v>1.06</x:v>
      </x:c>
      <x:c r="AC25" s="55" t="n">
        <x:v>1.2</x:v>
      </x:c>
      <x:c r="AD25" s="55" t="n">
        <x:v>0.39</x:v>
      </x:c>
      <x:c r="AE25" s="55" t="n">
        <x:v>0.91</x:v>
      </x:c>
      <x:c r="AF25" s="55" t="n">
        <x:v>0.08</x:v>
      </x:c>
      <x:c r="AG25" s="53" t="str">
        <x:v>NBS China Statistical Yearbook 2025, Table 12-15</x:v>
      </x:c>
      <x:c r="AH25" s="53" t="str">
        <x:v>calibrated reconstruction; not historical author input</x:v>
      </x:c>
    </x:row>
    <x:row r="26" ht="32" hidden="0" customHeight="1">
      <x:c r="A26" s="48" t="str">
        <x:v>x_r04_s1_m1</x:v>
      </x:c>
      <x:c r="B26" s="48" t="str">
        <x:v>r04</x:v>
      </x:c>
      <x:c r="C26" s="48" t="str">
        <x:v>CN-SX</x:v>
      </x:c>
      <x:c r="D26" s="48" t="str">
        <x:v>Shanxi</x:v>
      </x:c>
      <x:c r="E26" s="48" t="str">
        <x:v>山西</x:v>
      </x:c>
      <x:c r="F26" s="48" t="n">
        <x:v>1</x:v>
      </x:c>
      <x:c r="G26" s="48" t="str">
        <x:v>marine_capture</x:v>
      </x:c>
      <x:c r="H26" s="48" t="str">
        <x:v>海洋捕捞</x:v>
      </x:c>
      <x:c r="I26" s="48" t="n">
        <x:v>1</x:v>
      </x:c>
      <x:c r="J26" s="48" t="str">
        <x:v>fresh_sales</x:v>
      </x:c>
      <x:c r="K26" s="48" t="str">
        <x:v>鲜销</x:v>
      </x:c>
      <x:c r="L26" s="54" t="n">
        <x:v>0</x:v>
      </x:c>
      <x:c r="M26" s="54" t="n">
        <x:v>0</x:v>
      </x:c>
      <x:c r="N26" s="55" t="n">
        <x:v>0.62</x:v>
      </x:c>
      <x:c r="O26" s="54" t="n">
        <x:v>0</x:v>
      </x:c>
      <x:c r="P26" s="54" t="n">
        <x:v>0</x:v>
      </x:c>
      <x:c r="Q26" s="55" t="n">
        <x:v>0.0007883112470268434</x:v>
      </x:c>
      <x:c r="R26" s="55" t="n">
        <x:v>0.33646588774533553</x:v>
      </x:c>
      <x:c r="S26" s="55" t="n">
        <x:v>0.7852301883138888</x:v>
      </x:c>
      <x:c r="T26" s="55" t="n">
        <x:v>1.2735119139360687</x:v>
      </x:c>
      <x:c r="U26" s="55" t="n">
        <x:v>0.4634170392351918</x:v>
      </x:c>
      <x:c r="V26" s="55" t="n">
        <x:v>0.8378040362676829</x:v>
      </x:c>
      <x:c r="W26" s="55" t="n">
        <x:v>0.8479776012003475</x:v>
      </x:c>
      <x:c r="X26" s="55" t="n">
        <x:v>0.8956067196398957</x:v>
      </x:c>
      <x:c r="Y26" s="54" t="n">
        <x:v>79011.19146569182</x:v>
      </x:c>
      <x:c r="Z26" s="54" t="n">
        <x:v>20562.85288681359</x:v>
      </x:c>
      <x:c r="AA26" s="54" t="n">
        <x:v>3298.3409106604013</x:v>
      </x:c>
      <x:c r="AB26" s="55" t="n">
        <x:v>0.65</x:v>
      </x:c>
      <x:c r="AC26" s="55" t="n">
        <x:v>0.62</x:v>
      </x:c>
      <x:c r="AD26" s="55" t="n">
        <x:v>0.29</x:v>
      </x:c>
      <x:c r="AE26" s="55" t="n">
        <x:v>0.28</x:v>
      </x:c>
      <x:c r="AF26" s="55" t="n">
        <x:v>1</x:v>
      </x:c>
      <x:c r="AG26" s="53" t="str">
        <x:v>NBS China Statistical Yearbook 2025, Table 12-15</x:v>
      </x:c>
      <x:c r="AH26" s="53" t="str">
        <x:v>calibrated reconstruction; not historical author input</x:v>
      </x:c>
    </x:row>
    <x:row r="27" ht="32" hidden="0" customHeight="1">
      <x:c r="A27" s="48" t="str">
        <x:v>x_r04_s1_m2</x:v>
      </x:c>
      <x:c r="B27" s="48" t="str">
        <x:v>r04</x:v>
      </x:c>
      <x:c r="C27" s="48" t="str">
        <x:v>CN-SX</x:v>
      </x:c>
      <x:c r="D27" s="48" t="str">
        <x:v>Shanxi</x:v>
      </x:c>
      <x:c r="E27" s="48" t="str">
        <x:v>山西</x:v>
      </x:c>
      <x:c r="F27" s="48" t="n">
        <x:v>1</x:v>
      </x:c>
      <x:c r="G27" s="48" t="str">
        <x:v>marine_capture</x:v>
      </x:c>
      <x:c r="H27" s="48" t="str">
        <x:v>海洋捕捞</x:v>
      </x:c>
      <x:c r="I27" s="48" t="n">
        <x:v>2</x:v>
      </x:c>
      <x:c r="J27" s="48" t="str">
        <x:v>deep_processing</x:v>
      </x:c>
      <x:c r="K27" s="48" t="str">
        <x:v>深加工</x:v>
      </x:c>
      <x:c r="L27" s="54" t="n">
        <x:v>0</x:v>
      </x:c>
      <x:c r="M27" s="54" t="n">
        <x:v>0</x:v>
      </x:c>
      <x:c r="N27" s="55" t="n">
        <x:v>0.38</x:v>
      </x:c>
      <x:c r="O27" s="54" t="n">
        <x:v>0</x:v>
      </x:c>
      <x:c r="P27" s="54" t="n">
        <x:v>0</x:v>
      </x:c>
      <x:c r="Q27" s="55" t="n">
        <x:v>0.0007883112470268434</x:v>
      </x:c>
      <x:c r="R27" s="55" t="n">
        <x:v>0.33646588774533553</x:v>
      </x:c>
      <x:c r="S27" s="55" t="n">
        <x:v>0.7852301883138888</x:v>
      </x:c>
      <x:c r="T27" s="55" t="n">
        <x:v>1.2735119139360687</x:v>
      </x:c>
      <x:c r="U27" s="55" t="n">
        <x:v>0.4634170392351918</x:v>
      </x:c>
      <x:c r="V27" s="55" t="n">
        <x:v>0.8378040362676829</x:v>
      </x:c>
      <x:c r="W27" s="55" t="n">
        <x:v>0.8479776012003475</x:v>
      </x:c>
      <x:c r="X27" s="55" t="n">
        <x:v>0.8956067196398957</x:v>
      </x:c>
      <x:c r="Y27" s="54" t="n">
        <x:v>79011.19146569182</x:v>
      </x:c>
      <x:c r="Z27" s="54" t="n">
        <x:v>20562.85288681359</x:v>
      </x:c>
      <x:c r="AA27" s="54" t="n">
        <x:v>3298.3409106604013</x:v>
      </x:c>
      <x:c r="AB27" s="55" t="n">
        <x:v>0.82</x:v>
      </x:c>
      <x:c r="AC27" s="55" t="n">
        <x:v>0.95</x:v>
      </x:c>
      <x:c r="AD27" s="55" t="n">
        <x:v>0.36</x:v>
      </x:c>
      <x:c r="AE27" s="55" t="n">
        <x:v>0.31</x:v>
      </x:c>
      <x:c r="AF27" s="55" t="n">
        <x:v>1</x:v>
      </x:c>
      <x:c r="AG27" s="53" t="str">
        <x:v>NBS China Statistical Yearbook 2025, Table 12-15</x:v>
      </x:c>
      <x:c r="AH27" s="53" t="str">
        <x:v>calibrated reconstruction; not historical author input</x:v>
      </x:c>
    </x:row>
    <x:row r="28" ht="32" hidden="0" customHeight="1">
      <x:c r="A28" s="48" t="str">
        <x:v>x_r04_s2_m1</x:v>
      </x:c>
      <x:c r="B28" s="48" t="str">
        <x:v>r04</x:v>
      </x:c>
      <x:c r="C28" s="48" t="str">
        <x:v>CN-SX</x:v>
      </x:c>
      <x:c r="D28" s="48" t="str">
        <x:v>Shanxi</x:v>
      </x:c>
      <x:c r="E28" s="48" t="str">
        <x:v>山西</x:v>
      </x:c>
      <x:c r="F28" s="48" t="n">
        <x:v>2</x:v>
      </x:c>
      <x:c r="G28" s="48" t="str">
        <x:v>freshwater_capture</x:v>
      </x:c>
      <x:c r="H28" s="48" t="str">
        <x:v>淡水捕捞</x:v>
      </x:c>
      <x:c r="I28" s="48" t="n">
        <x:v>1</x:v>
      </x:c>
      <x:c r="J28" s="48" t="str">
        <x:v>fresh_sales</x:v>
      </x:c>
      <x:c r="K28" s="48" t="str">
        <x:v>鲜销</x:v>
      </x:c>
      <x:c r="L28" s="54" t="n">
        <x:v>0</x:v>
      </x:c>
      <x:c r="M28" s="54" t="n">
        <x:v>0</x:v>
      </x:c>
      <x:c r="N28" s="55" t="n">
        <x:v>0.67</x:v>
      </x:c>
      <x:c r="O28" s="54" t="n">
        <x:v>0</x:v>
      </x:c>
      <x:c r="P28" s="54" t="n">
        <x:v>0</x:v>
      </x:c>
      <x:c r="Q28" s="55" t="n">
        <x:v>0.0007883112470268434</x:v>
      </x:c>
      <x:c r="R28" s="55" t="n">
        <x:v>0.33646588774533553</x:v>
      </x:c>
      <x:c r="S28" s="55" t="n">
        <x:v>0.7852301883138888</x:v>
      </x:c>
      <x:c r="T28" s="55" t="n">
        <x:v>1.2735119139360687</x:v>
      </x:c>
      <x:c r="U28" s="55" t="n">
        <x:v>0.4634170392351918</x:v>
      </x:c>
      <x:c r="V28" s="55" t="n">
        <x:v>0.8378040362676829</x:v>
      </x:c>
      <x:c r="W28" s="55" t="n">
        <x:v>0.8479776012003475</x:v>
      </x:c>
      <x:c r="X28" s="55" t="n">
        <x:v>0.8956067196398957</x:v>
      </x:c>
      <x:c r="Y28" s="54" t="n">
        <x:v>79011.19146569182</x:v>
      </x:c>
      <x:c r="Z28" s="54" t="n">
        <x:v>20562.85288681359</x:v>
      </x:c>
      <x:c r="AA28" s="54" t="n">
        <x:v>3298.3409106604013</x:v>
      </x:c>
      <x:c r="AB28" s="55" t="n">
        <x:v>0.7</x:v>
      </x:c>
      <x:c r="AC28" s="55" t="n">
        <x:v>0.67</x:v>
      </x:c>
      <x:c r="AD28" s="55" t="n">
        <x:v>0.26</x:v>
      </x:c>
      <x:c r="AE28" s="55" t="n">
        <x:v>0.42</x:v>
      </x:c>
      <x:c r="AF28" s="55" t="n">
        <x:v>0.7</x:v>
      </x:c>
      <x:c r="AG28" s="53" t="str">
        <x:v>NBS China Statistical Yearbook 2025, Table 12-15</x:v>
      </x:c>
      <x:c r="AH28" s="53" t="str">
        <x:v>calibrated reconstruction; not historical author input</x:v>
      </x:c>
    </x:row>
    <x:row r="29" ht="32" hidden="0" customHeight="1">
      <x:c r="A29" s="48" t="str">
        <x:v>x_r04_s2_m2</x:v>
      </x:c>
      <x:c r="B29" s="48" t="str">
        <x:v>r04</x:v>
      </x:c>
      <x:c r="C29" s="48" t="str">
        <x:v>CN-SX</x:v>
      </x:c>
      <x:c r="D29" s="48" t="str">
        <x:v>Shanxi</x:v>
      </x:c>
      <x:c r="E29" s="48" t="str">
        <x:v>山西</x:v>
      </x:c>
      <x:c r="F29" s="48" t="n">
        <x:v>2</x:v>
      </x:c>
      <x:c r="G29" s="48" t="str">
        <x:v>freshwater_capture</x:v>
      </x:c>
      <x:c r="H29" s="48" t="str">
        <x:v>淡水捕捞</x:v>
      </x:c>
      <x:c r="I29" s="48" t="n">
        <x:v>2</x:v>
      </x:c>
      <x:c r="J29" s="48" t="str">
        <x:v>deep_processing</x:v>
      </x:c>
      <x:c r="K29" s="48" t="str">
        <x:v>深加工</x:v>
      </x:c>
      <x:c r="L29" s="54" t="n">
        <x:v>0</x:v>
      </x:c>
      <x:c r="M29" s="54" t="n">
        <x:v>0</x:v>
      </x:c>
      <x:c r="N29" s="55" t="n">
        <x:v>0.33</x:v>
      </x:c>
      <x:c r="O29" s="54" t="n">
        <x:v>0</x:v>
      </x:c>
      <x:c r="P29" s="54" t="n">
        <x:v>0</x:v>
      </x:c>
      <x:c r="Q29" s="55" t="n">
        <x:v>0.0007883112470268434</x:v>
      </x:c>
      <x:c r="R29" s="55" t="n">
        <x:v>0.33646588774533553</x:v>
      </x:c>
      <x:c r="S29" s="55" t="n">
        <x:v>0.7852301883138888</x:v>
      </x:c>
      <x:c r="T29" s="55" t="n">
        <x:v>1.2735119139360687</x:v>
      </x:c>
      <x:c r="U29" s="55" t="n">
        <x:v>0.4634170392351918</x:v>
      </x:c>
      <x:c r="V29" s="55" t="n">
        <x:v>0.8378040362676829</x:v>
      </x:c>
      <x:c r="W29" s="55" t="n">
        <x:v>0.8479776012003475</x:v>
      </x:c>
      <x:c r="X29" s="55" t="n">
        <x:v>0.8956067196398957</x:v>
      </x:c>
      <x:c r="Y29" s="54" t="n">
        <x:v>79011.19146569182</x:v>
      </x:c>
      <x:c r="Z29" s="54" t="n">
        <x:v>20562.85288681359</x:v>
      </x:c>
      <x:c r="AA29" s="54" t="n">
        <x:v>3298.3409106604013</x:v>
      </x:c>
      <x:c r="AB29" s="55" t="n">
        <x:v>0.86</x:v>
      </x:c>
      <x:c r="AC29" s="55" t="n">
        <x:v>0.99</x:v>
      </x:c>
      <x:c r="AD29" s="55" t="n">
        <x:v>0.34</x:v>
      </x:c>
      <x:c r="AE29" s="55" t="n">
        <x:v>0.45</x:v>
      </x:c>
      <x:c r="AF29" s="55" t="n">
        <x:v>0.7</x:v>
      </x:c>
      <x:c r="AG29" s="53" t="str">
        <x:v>NBS China Statistical Yearbook 2025, Table 12-15</x:v>
      </x:c>
      <x:c r="AH29" s="53" t="str">
        <x:v>calibrated reconstruction; not historical author input</x:v>
      </x:c>
    </x:row>
    <x:row r="30" ht="32" hidden="0" customHeight="1">
      <x:c r="A30" s="48" t="str">
        <x:v>x_r04_s3_m1</x:v>
      </x:c>
      <x:c r="B30" s="48" t="str">
        <x:v>r04</x:v>
      </x:c>
      <x:c r="C30" s="48" t="str">
        <x:v>CN-SX</x:v>
      </x:c>
      <x:c r="D30" s="48" t="str">
        <x:v>Shanxi</x:v>
      </x:c>
      <x:c r="E30" s="48" t="str">
        <x:v>山西</x:v>
      </x:c>
      <x:c r="F30" s="48" t="n">
        <x:v>3</x:v>
      </x:c>
      <x:c r="G30" s="48" t="str">
        <x:v>marine_aquaculture</x:v>
      </x:c>
      <x:c r="H30" s="48" t="str">
        <x:v>海水养殖</x:v>
      </x:c>
      <x:c r="I30" s="48" t="n">
        <x:v>1</x:v>
      </x:c>
      <x:c r="J30" s="48" t="str">
        <x:v>fresh_sales</x:v>
      </x:c>
      <x:c r="K30" s="48" t="str">
        <x:v>鲜销</x:v>
      </x:c>
      <x:c r="L30" s="54" t="n">
        <x:v>0</x:v>
      </x:c>
      <x:c r="M30" s="54" t="n">
        <x:v>0</x:v>
      </x:c>
      <x:c r="N30" s="55" t="n">
        <x:v>0.74</x:v>
      </x:c>
      <x:c r="O30" s="54" t="n">
        <x:v>0</x:v>
      </x:c>
      <x:c r="P30" s="54" t="n">
        <x:v>0</x:v>
      </x:c>
      <x:c r="Q30" s="55" t="n">
        <x:v>0.0007883112470268434</x:v>
      </x:c>
      <x:c r="R30" s="55" t="n">
        <x:v>0.33646588774533553</x:v>
      </x:c>
      <x:c r="S30" s="55" t="n">
        <x:v>0.7852301883138888</x:v>
      </x:c>
      <x:c r="T30" s="55" t="n">
        <x:v>1.2735119139360687</x:v>
      </x:c>
      <x:c r="U30" s="55" t="n">
        <x:v>0.4634170392351918</x:v>
      </x:c>
      <x:c r="V30" s="55" t="n">
        <x:v>0.8378040362676829</x:v>
      </x:c>
      <x:c r="W30" s="55" t="n">
        <x:v>0.8479776012003475</x:v>
      </x:c>
      <x:c r="X30" s="55" t="n">
        <x:v>0.8956067196398957</x:v>
      </x:c>
      <x:c r="Y30" s="54" t="n">
        <x:v>79011.19146569182</x:v>
      </x:c>
      <x:c r="Z30" s="54" t="n">
        <x:v>20562.85288681359</x:v>
      </x:c>
      <x:c r="AA30" s="54" t="n">
        <x:v>3298.3409106604013</x:v>
      </x:c>
      <x:c r="AB30" s="55" t="n">
        <x:v>0.84</x:v>
      </x:c>
      <x:c r="AC30" s="55" t="n">
        <x:v>0.8</x:v>
      </x:c>
      <x:c r="AD30" s="55" t="n">
        <x:v>0.33</x:v>
      </x:c>
      <x:c r="AE30" s="55" t="n">
        <x:v>0.78</x:v>
      </x:c>
      <x:c r="AF30" s="55" t="n">
        <x:v>0.11</x:v>
      </x:c>
      <x:c r="AG30" s="53" t="str">
        <x:v>NBS China Statistical Yearbook 2025, Table 12-15</x:v>
      </x:c>
      <x:c r="AH30" s="53" t="str">
        <x:v>calibrated reconstruction; not historical author input</x:v>
      </x:c>
    </x:row>
    <x:row r="31" ht="32" hidden="0" customHeight="1">
      <x:c r="A31" s="48" t="str">
        <x:v>x_r04_s3_m2</x:v>
      </x:c>
      <x:c r="B31" s="48" t="str">
        <x:v>r04</x:v>
      </x:c>
      <x:c r="C31" s="48" t="str">
        <x:v>CN-SX</x:v>
      </x:c>
      <x:c r="D31" s="48" t="str">
        <x:v>Shanxi</x:v>
      </x:c>
      <x:c r="E31" s="48" t="str">
        <x:v>山西</x:v>
      </x:c>
      <x:c r="F31" s="48" t="n">
        <x:v>3</x:v>
      </x:c>
      <x:c r="G31" s="48" t="str">
        <x:v>marine_aquaculture</x:v>
      </x:c>
      <x:c r="H31" s="48" t="str">
        <x:v>海水养殖</x:v>
      </x:c>
      <x:c r="I31" s="48" t="n">
        <x:v>2</x:v>
      </x:c>
      <x:c r="J31" s="48" t="str">
        <x:v>deep_processing</x:v>
      </x:c>
      <x:c r="K31" s="48" t="str">
        <x:v>深加工</x:v>
      </x:c>
      <x:c r="L31" s="54" t="n">
        <x:v>0</x:v>
      </x:c>
      <x:c r="M31" s="54" t="n">
        <x:v>0</x:v>
      </x:c>
      <x:c r="N31" s="55" t="n">
        <x:v>0.26</x:v>
      </x:c>
      <x:c r="O31" s="54" t="n">
        <x:v>0</x:v>
      </x:c>
      <x:c r="P31" s="54" t="n">
        <x:v>0</x:v>
      </x:c>
      <x:c r="Q31" s="55" t="n">
        <x:v>0.0007883112470268434</x:v>
      </x:c>
      <x:c r="R31" s="55" t="n">
        <x:v>0.33646588774533553</x:v>
      </x:c>
      <x:c r="S31" s="55" t="n">
        <x:v>0.7852301883138888</x:v>
      </x:c>
      <x:c r="T31" s="55" t="n">
        <x:v>1.2735119139360687</x:v>
      </x:c>
      <x:c r="U31" s="55" t="n">
        <x:v>0.4634170392351918</x:v>
      </x:c>
      <x:c r="V31" s="55" t="n">
        <x:v>0.8378040362676829</x:v>
      </x:c>
      <x:c r="W31" s="55" t="n">
        <x:v>0.8479776012003475</x:v>
      </x:c>
      <x:c r="X31" s="55" t="n">
        <x:v>0.8956067196398957</x:v>
      </x:c>
      <x:c r="Y31" s="54" t="n">
        <x:v>79011.19146569182</x:v>
      </x:c>
      <x:c r="Z31" s="54" t="n">
        <x:v>20562.85288681359</x:v>
      </x:c>
      <x:c r="AA31" s="54" t="n">
        <x:v>3298.3409106604013</x:v>
      </x:c>
      <x:c r="AB31" s="55" t="n">
        <x:v>1.02</x:v>
      </x:c>
      <x:c r="AC31" s="55" t="n">
        <x:v>1.16</x:v>
      </x:c>
      <x:c r="AD31" s="55" t="n">
        <x:v>0.41</x:v>
      </x:c>
      <x:c r="AE31" s="55" t="n">
        <x:v>0.81</x:v>
      </x:c>
      <x:c r="AF31" s="55" t="n">
        <x:v>0.11</x:v>
      </x:c>
      <x:c r="AG31" s="53" t="str">
        <x:v>NBS China Statistical Yearbook 2025, Table 12-15</x:v>
      </x:c>
      <x:c r="AH31" s="53" t="str">
        <x:v>calibrated reconstruction; not historical author input</x:v>
      </x:c>
    </x:row>
    <x:row r="32" ht="32" hidden="0" customHeight="1">
      <x:c r="A32" s="48" t="str">
        <x:v>x_r04_s4_m1</x:v>
      </x:c>
      <x:c r="B32" s="48" t="str">
        <x:v>r04</x:v>
      </x:c>
      <x:c r="C32" s="48" t="str">
        <x:v>CN-SX</x:v>
      </x:c>
      <x:c r="D32" s="48" t="str">
        <x:v>Shanxi</x:v>
      </x:c>
      <x:c r="E32" s="48" t="str">
        <x:v>山西</x:v>
      </x:c>
      <x:c r="F32" s="48" t="n">
        <x:v>4</x:v>
      </x:c>
      <x:c r="G32" s="48" t="str">
        <x:v>freshwater_aquaculture</x:v>
      </x:c>
      <x:c r="H32" s="48" t="str">
        <x:v>淡水养殖</x:v>
      </x:c>
      <x:c r="I32" s="48" t="n">
        <x:v>1</x:v>
      </x:c>
      <x:c r="J32" s="48" t="str">
        <x:v>fresh_sales</x:v>
      </x:c>
      <x:c r="K32" s="48" t="str">
        <x:v>鲜销</x:v>
      </x:c>
      <x:c r="L32" s="54" t="n">
        <x:v>58000</x:v>
      </x:c>
      <x:c r="M32" s="54" t="n">
        <x:v>56097.58108053007</x:v>
      </x:c>
      <x:c r="N32" s="55" t="n">
        <x:v>0.78</x:v>
      </x:c>
      <x:c r="O32" s="54" t="n">
        <x:v>43756.11324281346</x:v>
      </x:c>
      <x:c r="P32" s="54" t="n">
        <x:v>52507.33589137615</x:v>
      </x:c>
      <x:c r="Q32" s="55" t="n">
        <x:v>0.0007883112470268434</x:v>
      </x:c>
      <x:c r="R32" s="55" t="n">
        <x:v>0.33646588774533553</x:v>
      </x:c>
      <x:c r="S32" s="55" t="n">
        <x:v>0.7852301883138888</x:v>
      </x:c>
      <x:c r="T32" s="55" t="n">
        <x:v>1.2735119139360687</x:v>
      </x:c>
      <x:c r="U32" s="55" t="n">
        <x:v>0.4634170392351918</x:v>
      </x:c>
      <x:c r="V32" s="55" t="n">
        <x:v>0.8378040362676829</x:v>
      </x:c>
      <x:c r="W32" s="55" t="n">
        <x:v>0.8479776012003475</x:v>
      </x:c>
      <x:c r="X32" s="55" t="n">
        <x:v>0.8956067196398957</x:v>
      </x:c>
      <x:c r="Y32" s="54" t="n">
        <x:v>79011.19146569182</x:v>
      </x:c>
      <x:c r="Z32" s="54" t="n">
        <x:v>20562.85288681359</x:v>
      </x:c>
      <x:c r="AA32" s="54" t="n">
        <x:v>3298.3409106604013</x:v>
      </x:c>
      <x:c r="AB32" s="55" t="n">
        <x:v>0.88</x:v>
      </x:c>
      <x:c r="AC32" s="55" t="n">
        <x:v>0.84</x:v>
      </x:c>
      <x:c r="AD32" s="55" t="n">
        <x:v>0.31</x:v>
      </x:c>
      <x:c r="AE32" s="55" t="n">
        <x:v>0.88</x:v>
      </x:c>
      <x:c r="AF32" s="55" t="n">
        <x:v>0.08</x:v>
      </x:c>
      <x:c r="AG32" s="53" t="str">
        <x:v>NBS China Statistical Yearbook 2025, Table 12-15</x:v>
      </x:c>
      <x:c r="AH32" s="53" t="str">
        <x:v>calibrated reconstruction; not historical author input</x:v>
      </x:c>
    </x:row>
    <x:row r="33" ht="32" hidden="0" customHeight="1">
      <x:c r="A33" s="48" t="str">
        <x:v>x_r04_s4_m2</x:v>
      </x:c>
      <x:c r="B33" s="48" t="str">
        <x:v>r04</x:v>
      </x:c>
      <x:c r="C33" s="48" t="str">
        <x:v>CN-SX</x:v>
      </x:c>
      <x:c r="D33" s="48" t="str">
        <x:v>Shanxi</x:v>
      </x:c>
      <x:c r="E33" s="48" t="str">
        <x:v>山西</x:v>
      </x:c>
      <x:c r="F33" s="48" t="n">
        <x:v>4</x:v>
      </x:c>
      <x:c r="G33" s="48" t="str">
        <x:v>freshwater_aquaculture</x:v>
      </x:c>
      <x:c r="H33" s="48" t="str">
        <x:v>淡水养殖</x:v>
      </x:c>
      <x:c r="I33" s="48" t="n">
        <x:v>2</x:v>
      </x:c>
      <x:c r="J33" s="48" t="str">
        <x:v>deep_processing</x:v>
      </x:c>
      <x:c r="K33" s="48" t="str">
        <x:v>深加工</x:v>
      </x:c>
      <x:c r="L33" s="54" t="n">
        <x:v>58000</x:v>
      </x:c>
      <x:c r="M33" s="54" t="n">
        <x:v>56097.58108053007</x:v>
      </x:c>
      <x:c r="N33" s="55" t="n">
        <x:v>0.22</x:v>
      </x:c>
      <x:c r="O33" s="54" t="n">
        <x:v>12341.467837716616</x:v>
      </x:c>
      <x:c r="P33" s="54" t="n">
        <x:v>14809.761405259938</x:v>
      </x:c>
      <x:c r="Q33" s="55" t="n">
        <x:v>0.0007883112470268434</x:v>
      </x:c>
      <x:c r="R33" s="55" t="n">
        <x:v>0.33646588774533553</x:v>
      </x:c>
      <x:c r="S33" s="55" t="n">
        <x:v>0.7852301883138888</x:v>
      </x:c>
      <x:c r="T33" s="55" t="n">
        <x:v>1.2735119139360687</x:v>
      </x:c>
      <x:c r="U33" s="55" t="n">
        <x:v>0.4634170392351918</x:v>
      </x:c>
      <x:c r="V33" s="55" t="n">
        <x:v>0.8378040362676829</x:v>
      </x:c>
      <x:c r="W33" s="55" t="n">
        <x:v>0.8479776012003475</x:v>
      </x:c>
      <x:c r="X33" s="55" t="n">
        <x:v>0.8956067196398957</x:v>
      </x:c>
      <x:c r="Y33" s="54" t="n">
        <x:v>79011.19146569182</x:v>
      </x:c>
      <x:c r="Z33" s="54" t="n">
        <x:v>20562.85288681359</x:v>
      </x:c>
      <x:c r="AA33" s="54" t="n">
        <x:v>3298.3409106604013</x:v>
      </x:c>
      <x:c r="AB33" s="55" t="n">
        <x:v>1.06</x:v>
      </x:c>
      <x:c r="AC33" s="55" t="n">
        <x:v>1.2</x:v>
      </x:c>
      <x:c r="AD33" s="55" t="n">
        <x:v>0.39</x:v>
      </x:c>
      <x:c r="AE33" s="55" t="n">
        <x:v>0.91</x:v>
      </x:c>
      <x:c r="AF33" s="55" t="n">
        <x:v>0.08</x:v>
      </x:c>
      <x:c r="AG33" s="53" t="str">
        <x:v>NBS China Statistical Yearbook 2025, Table 12-15</x:v>
      </x:c>
      <x:c r="AH33" s="53" t="str">
        <x:v>calibrated reconstruction; not historical author input</x:v>
      </x:c>
    </x:row>
    <x:row r="34" ht="32" hidden="0" customHeight="1">
      <x:c r="A34" s="48" t="str">
        <x:v>x_r05_s1_m1</x:v>
      </x:c>
      <x:c r="B34" s="48" t="str">
        <x:v>r05</x:v>
      </x:c>
      <x:c r="C34" s="48" t="str">
        <x:v>CN-NM</x:v>
      </x:c>
      <x:c r="D34" s="48" t="str">
        <x:v>Inner Mongolia</x:v>
      </x:c>
      <x:c r="E34" s="48" t="str">
        <x:v>内蒙古</x:v>
      </x:c>
      <x:c r="F34" s="48" t="n">
        <x:v>1</x:v>
      </x:c>
      <x:c r="G34" s="48" t="str">
        <x:v>marine_capture</x:v>
      </x:c>
      <x:c r="H34" s="48" t="str">
        <x:v>海洋捕捞</x:v>
      </x:c>
      <x:c r="I34" s="48" t="n">
        <x:v>1</x:v>
      </x:c>
      <x:c r="J34" s="48" t="str">
        <x:v>fresh_sales</x:v>
      </x:c>
      <x:c r="K34" s="48" t="str">
        <x:v>鲜销</x:v>
      </x:c>
      <x:c r="L34" s="54" t="n">
        <x:v>0</x:v>
      </x:c>
      <x:c r="M34" s="54" t="n">
        <x:v>0</x:v>
      </x:c>
      <x:c r="N34" s="55" t="n">
        <x:v>0.62</x:v>
      </x:c>
      <x:c r="O34" s="54" t="n">
        <x:v>0</x:v>
      </x:c>
      <x:c r="P34" s="54" t="n">
        <x:v>0</x:v>
      </x:c>
      <x:c r="Q34" s="55" t="n">
        <x:v>0.001563030920829086</x:v>
      </x:c>
      <x:c r="R34" s="55" t="n">
        <x:v>0.47256080998864214</x:v>
      </x:c>
      <x:c r="S34" s="55" t="n">
        <x:v>0.9700585757854481</x:v>
      </x:c>
      <x:c r="T34" s="55" t="n">
        <x:v>1.0308655837512788</x:v>
      </x:c>
      <x:c r="U34" s="55" t="n">
        <x:v>0.5896268915409931</x:v>
      </x:c>
      <x:c r="V34" s="55" t="n">
        <x:v>0.7936305879606524</x:v>
      </x:c>
      <x:c r="W34" s="55" t="n">
        <x:v>0.8734355995734412</x:v>
      </x:c>
      <x:c r="X34" s="55" t="n">
        <x:v>0.8879693201279676</x:v>
      </x:c>
      <x:c r="Y34" s="54" t="n">
        <x:v>63722.447961912054</x:v>
      </x:c>
      <x:c r="Z34" s="54" t="n">
        <x:v>41394.1349106723</x:v>
      </x:c>
      <x:c r="AA34" s="54" t="n">
        <x:v>19050.762156400597</x:v>
      </x:c>
      <x:c r="AB34" s="55" t="n">
        <x:v>0.65</x:v>
      </x:c>
      <x:c r="AC34" s="55" t="n">
        <x:v>0.62</x:v>
      </x:c>
      <x:c r="AD34" s="55" t="n">
        <x:v>0.29</x:v>
      </x:c>
      <x:c r="AE34" s="55" t="n">
        <x:v>0.28</x:v>
      </x:c>
      <x:c r="AF34" s="55" t="n">
        <x:v>1</x:v>
      </x:c>
      <x:c r="AG34" s="53" t="str">
        <x:v>NBS China Statistical Yearbook 2025, Table 12-15</x:v>
      </x:c>
      <x:c r="AH34" s="53" t="str">
        <x:v>calibrated reconstruction; not historical author input</x:v>
      </x:c>
    </x:row>
    <x:row r="35" ht="32" hidden="0" customHeight="1">
      <x:c r="A35" s="48" t="str">
        <x:v>x_r05_s1_m2</x:v>
      </x:c>
      <x:c r="B35" s="48" t="str">
        <x:v>r05</x:v>
      </x:c>
      <x:c r="C35" s="48" t="str">
        <x:v>CN-NM</x:v>
      </x:c>
      <x:c r="D35" s="48" t="str">
        <x:v>Inner Mongolia</x:v>
      </x:c>
      <x:c r="E35" s="48" t="str">
        <x:v>内蒙古</x:v>
      </x:c>
      <x:c r="F35" s="48" t="n">
        <x:v>1</x:v>
      </x:c>
      <x:c r="G35" s="48" t="str">
        <x:v>marine_capture</x:v>
      </x:c>
      <x:c r="H35" s="48" t="str">
        <x:v>海洋捕捞</x:v>
      </x:c>
      <x:c r="I35" s="48" t="n">
        <x:v>2</x:v>
      </x:c>
      <x:c r="J35" s="48" t="str">
        <x:v>deep_processing</x:v>
      </x:c>
      <x:c r="K35" s="48" t="str">
        <x:v>深加工</x:v>
      </x:c>
      <x:c r="L35" s="54" t="n">
        <x:v>0</x:v>
      </x:c>
      <x:c r="M35" s="54" t="n">
        <x:v>0</x:v>
      </x:c>
      <x:c r="N35" s="55" t="n">
        <x:v>0.38</x:v>
      </x:c>
      <x:c r="O35" s="54" t="n">
        <x:v>0</x:v>
      </x:c>
      <x:c r="P35" s="54" t="n">
        <x:v>0</x:v>
      </x:c>
      <x:c r="Q35" s="55" t="n">
        <x:v>0.001563030920829086</x:v>
      </x:c>
      <x:c r="R35" s="55" t="n">
        <x:v>0.47256080998864214</x:v>
      </x:c>
      <x:c r="S35" s="55" t="n">
        <x:v>0.9700585757854481</x:v>
      </x:c>
      <x:c r="T35" s="55" t="n">
        <x:v>1.0308655837512788</x:v>
      </x:c>
      <x:c r="U35" s="55" t="n">
        <x:v>0.5896268915409931</x:v>
      </x:c>
      <x:c r="V35" s="55" t="n">
        <x:v>0.7936305879606524</x:v>
      </x:c>
      <x:c r="W35" s="55" t="n">
        <x:v>0.8734355995734412</x:v>
      </x:c>
      <x:c r="X35" s="55" t="n">
        <x:v>0.8879693201279676</x:v>
      </x:c>
      <x:c r="Y35" s="54" t="n">
        <x:v>63722.447961912054</x:v>
      </x:c>
      <x:c r="Z35" s="54" t="n">
        <x:v>41394.1349106723</x:v>
      </x:c>
      <x:c r="AA35" s="54" t="n">
        <x:v>19050.762156400597</x:v>
      </x:c>
      <x:c r="AB35" s="55" t="n">
        <x:v>0.82</x:v>
      </x:c>
      <x:c r="AC35" s="55" t="n">
        <x:v>0.95</x:v>
      </x:c>
      <x:c r="AD35" s="55" t="n">
        <x:v>0.36</x:v>
      </x:c>
      <x:c r="AE35" s="55" t="n">
        <x:v>0.31</x:v>
      </x:c>
      <x:c r="AF35" s="55" t="n">
        <x:v>1</x:v>
      </x:c>
      <x:c r="AG35" s="53" t="str">
        <x:v>NBS China Statistical Yearbook 2025, Table 12-15</x:v>
      </x:c>
      <x:c r="AH35" s="53" t="str">
        <x:v>calibrated reconstruction; not historical author input</x:v>
      </x:c>
    </x:row>
    <x:row r="36" ht="32" hidden="0" customHeight="1">
      <x:c r="A36" s="48" t="str">
        <x:v>x_r05_s2_m1</x:v>
      </x:c>
      <x:c r="B36" s="48" t="str">
        <x:v>r05</x:v>
      </x:c>
      <x:c r="C36" s="48" t="str">
        <x:v>CN-NM</x:v>
      </x:c>
      <x:c r="D36" s="48" t="str">
        <x:v>Inner Mongolia</x:v>
      </x:c>
      <x:c r="E36" s="48" t="str">
        <x:v>内蒙古</x:v>
      </x:c>
      <x:c r="F36" s="48" t="n">
        <x:v>2</x:v>
      </x:c>
      <x:c r="G36" s="48" t="str">
        <x:v>freshwater_capture</x:v>
      </x:c>
      <x:c r="H36" s="48" t="str">
        <x:v>淡水捕捞</x:v>
      </x:c>
      <x:c r="I36" s="48" t="n">
        <x:v>1</x:v>
      </x:c>
      <x:c r="J36" s="48" t="str">
        <x:v>fresh_sales</x:v>
      </x:c>
      <x:c r="K36" s="48" t="str">
        <x:v>鲜销</x:v>
      </x:c>
      <x:c r="L36" s="54" t="n">
        <x:v>11000</x:v>
      </x:c>
      <x:c r="M36" s="54" t="n">
        <x:v>10639.196411824669</x:v>
      </x:c>
      <x:c r="N36" s="55" t="n">
        <x:v>0.67</x:v>
      </x:c>
      <x:c r="O36" s="54" t="n">
        <x:v>7128.261595922529</x:v>
      </x:c>
      <x:c r="P36" s="54" t="n">
        <x:v>8553.913915107034</x:v>
      </x:c>
      <x:c r="Q36" s="55" t="n">
        <x:v>0.001563030920829086</x:v>
      </x:c>
      <x:c r="R36" s="55" t="n">
        <x:v>0.47256080998864214</x:v>
      </x:c>
      <x:c r="S36" s="55" t="n">
        <x:v>0.9700585757854481</x:v>
      </x:c>
      <x:c r="T36" s="55" t="n">
        <x:v>1.0308655837512788</x:v>
      </x:c>
      <x:c r="U36" s="55" t="n">
        <x:v>0.5896268915409931</x:v>
      </x:c>
      <x:c r="V36" s="55" t="n">
        <x:v>0.7936305879606524</x:v>
      </x:c>
      <x:c r="W36" s="55" t="n">
        <x:v>0.8734355995734412</x:v>
      </x:c>
      <x:c r="X36" s="55" t="n">
        <x:v>0.8879693201279676</x:v>
      </x:c>
      <x:c r="Y36" s="54" t="n">
        <x:v>63722.447961912054</x:v>
      </x:c>
      <x:c r="Z36" s="54" t="n">
        <x:v>41394.1349106723</x:v>
      </x:c>
      <x:c r="AA36" s="54" t="n">
        <x:v>19050.762156400597</x:v>
      </x:c>
      <x:c r="AB36" s="55" t="n">
        <x:v>0.7</x:v>
      </x:c>
      <x:c r="AC36" s="55" t="n">
        <x:v>0.67</x:v>
      </x:c>
      <x:c r="AD36" s="55" t="n">
        <x:v>0.26</x:v>
      </x:c>
      <x:c r="AE36" s="55" t="n">
        <x:v>0.42</x:v>
      </x:c>
      <x:c r="AF36" s="55" t="n">
        <x:v>0.7</x:v>
      </x:c>
      <x:c r="AG36" s="53" t="str">
        <x:v>NBS China Statistical Yearbook 2025, Table 12-15</x:v>
      </x:c>
      <x:c r="AH36" s="53" t="str">
        <x:v>calibrated reconstruction; not historical author input</x:v>
      </x:c>
    </x:row>
    <x:row r="37" ht="32" hidden="0" customHeight="1">
      <x:c r="A37" s="48" t="str">
        <x:v>x_r05_s2_m2</x:v>
      </x:c>
      <x:c r="B37" s="48" t="str">
        <x:v>r05</x:v>
      </x:c>
      <x:c r="C37" s="48" t="str">
        <x:v>CN-NM</x:v>
      </x:c>
      <x:c r="D37" s="48" t="str">
        <x:v>Inner Mongolia</x:v>
      </x:c>
      <x:c r="E37" s="48" t="str">
        <x:v>内蒙古</x:v>
      </x:c>
      <x:c r="F37" s="48" t="n">
        <x:v>2</x:v>
      </x:c>
      <x:c r="G37" s="48" t="str">
        <x:v>freshwater_capture</x:v>
      </x:c>
      <x:c r="H37" s="48" t="str">
        <x:v>淡水捕捞</x:v>
      </x:c>
      <x:c r="I37" s="48" t="n">
        <x:v>2</x:v>
      </x:c>
      <x:c r="J37" s="48" t="str">
        <x:v>deep_processing</x:v>
      </x:c>
      <x:c r="K37" s="48" t="str">
        <x:v>深加工</x:v>
      </x:c>
      <x:c r="L37" s="54" t="n">
        <x:v>11000</x:v>
      </x:c>
      <x:c r="M37" s="54" t="n">
        <x:v>10639.196411824669</x:v>
      </x:c>
      <x:c r="N37" s="55" t="n">
        <x:v>0.33</x:v>
      </x:c>
      <x:c r="O37" s="54" t="n">
        <x:v>3510.934815902141</x:v>
      </x:c>
      <x:c r="P37" s="54" t="n">
        <x:v>4213.121779082569</x:v>
      </x:c>
      <x:c r="Q37" s="55" t="n">
        <x:v>0.001563030920829086</x:v>
      </x:c>
      <x:c r="R37" s="55" t="n">
        <x:v>0.47256080998864214</x:v>
      </x:c>
      <x:c r="S37" s="55" t="n">
        <x:v>0.9700585757854481</x:v>
      </x:c>
      <x:c r="T37" s="55" t="n">
        <x:v>1.0308655837512788</x:v>
      </x:c>
      <x:c r="U37" s="55" t="n">
        <x:v>0.5896268915409931</x:v>
      </x:c>
      <x:c r="V37" s="55" t="n">
        <x:v>0.7936305879606524</x:v>
      </x:c>
      <x:c r="W37" s="55" t="n">
        <x:v>0.8734355995734412</x:v>
      </x:c>
      <x:c r="X37" s="55" t="n">
        <x:v>0.8879693201279676</x:v>
      </x:c>
      <x:c r="Y37" s="54" t="n">
        <x:v>63722.447961912054</x:v>
      </x:c>
      <x:c r="Z37" s="54" t="n">
        <x:v>41394.1349106723</x:v>
      </x:c>
      <x:c r="AA37" s="54" t="n">
        <x:v>19050.762156400597</x:v>
      </x:c>
      <x:c r="AB37" s="55" t="n">
        <x:v>0.86</x:v>
      </x:c>
      <x:c r="AC37" s="55" t="n">
        <x:v>0.99</x:v>
      </x:c>
      <x:c r="AD37" s="55" t="n">
        <x:v>0.34</x:v>
      </x:c>
      <x:c r="AE37" s="55" t="n">
        <x:v>0.45</x:v>
      </x:c>
      <x:c r="AF37" s="55" t="n">
        <x:v>0.7</x:v>
      </x:c>
      <x:c r="AG37" s="53" t="str">
        <x:v>NBS China Statistical Yearbook 2025, Table 12-15</x:v>
      </x:c>
      <x:c r="AH37" s="53" t="str">
        <x:v>calibrated reconstruction; not historical author input</x:v>
      </x:c>
    </x:row>
    <x:row r="38" ht="32" hidden="0" customHeight="1">
      <x:c r="A38" s="48" t="str">
        <x:v>x_r05_s3_m1</x:v>
      </x:c>
      <x:c r="B38" s="48" t="str">
        <x:v>r05</x:v>
      </x:c>
      <x:c r="C38" s="48" t="str">
        <x:v>CN-NM</x:v>
      </x:c>
      <x:c r="D38" s="48" t="str">
        <x:v>Inner Mongolia</x:v>
      </x:c>
      <x:c r="E38" s="48" t="str">
        <x:v>内蒙古</x:v>
      </x:c>
      <x:c r="F38" s="48" t="n">
        <x:v>3</x:v>
      </x:c>
      <x:c r="G38" s="48" t="str">
        <x:v>marine_aquaculture</x:v>
      </x:c>
      <x:c r="H38" s="48" t="str">
        <x:v>海水养殖</x:v>
      </x:c>
      <x:c r="I38" s="48" t="n">
        <x:v>1</x:v>
      </x:c>
      <x:c r="J38" s="48" t="str">
        <x:v>fresh_sales</x:v>
      </x:c>
      <x:c r="K38" s="48" t="str">
        <x:v>鲜销</x:v>
      </x:c>
      <x:c r="L38" s="54" t="n">
        <x:v>0</x:v>
      </x:c>
      <x:c r="M38" s="54" t="n">
        <x:v>0</x:v>
      </x:c>
      <x:c r="N38" s="55" t="n">
        <x:v>0.74</x:v>
      </x:c>
      <x:c r="O38" s="54" t="n">
        <x:v>0</x:v>
      </x:c>
      <x:c r="P38" s="54" t="n">
        <x:v>0</x:v>
      </x:c>
      <x:c r="Q38" s="55" t="n">
        <x:v>0.001563030920829086</x:v>
      </x:c>
      <x:c r="R38" s="55" t="n">
        <x:v>0.47256080998864214</x:v>
      </x:c>
      <x:c r="S38" s="55" t="n">
        <x:v>0.9700585757854481</x:v>
      </x:c>
      <x:c r="T38" s="55" t="n">
        <x:v>1.0308655837512788</x:v>
      </x:c>
      <x:c r="U38" s="55" t="n">
        <x:v>0.5896268915409931</x:v>
      </x:c>
      <x:c r="V38" s="55" t="n">
        <x:v>0.7936305879606524</x:v>
      </x:c>
      <x:c r="W38" s="55" t="n">
        <x:v>0.8734355995734412</x:v>
      </x:c>
      <x:c r="X38" s="55" t="n">
        <x:v>0.8879693201279676</x:v>
      </x:c>
      <x:c r="Y38" s="54" t="n">
        <x:v>63722.447961912054</x:v>
      </x:c>
      <x:c r="Z38" s="54" t="n">
        <x:v>41394.1349106723</x:v>
      </x:c>
      <x:c r="AA38" s="54" t="n">
        <x:v>19050.762156400597</x:v>
      </x:c>
      <x:c r="AB38" s="55" t="n">
        <x:v>0.84</x:v>
      </x:c>
      <x:c r="AC38" s="55" t="n">
        <x:v>0.8</x:v>
      </x:c>
      <x:c r="AD38" s="55" t="n">
        <x:v>0.33</x:v>
      </x:c>
      <x:c r="AE38" s="55" t="n">
        <x:v>0.78</x:v>
      </x:c>
      <x:c r="AF38" s="55" t="n">
        <x:v>0.11</x:v>
      </x:c>
      <x:c r="AG38" s="53" t="str">
        <x:v>NBS China Statistical Yearbook 2025, Table 12-15</x:v>
      </x:c>
      <x:c r="AH38" s="53" t="str">
        <x:v>calibrated reconstruction; not historical author input</x:v>
      </x:c>
    </x:row>
    <x:row r="39" ht="32" hidden="0" customHeight="1">
      <x:c r="A39" s="48" t="str">
        <x:v>x_r05_s3_m2</x:v>
      </x:c>
      <x:c r="B39" s="48" t="str">
        <x:v>r05</x:v>
      </x:c>
      <x:c r="C39" s="48" t="str">
        <x:v>CN-NM</x:v>
      </x:c>
      <x:c r="D39" s="48" t="str">
        <x:v>Inner Mongolia</x:v>
      </x:c>
      <x:c r="E39" s="48" t="str">
        <x:v>内蒙古</x:v>
      </x:c>
      <x:c r="F39" s="48" t="n">
        <x:v>3</x:v>
      </x:c>
      <x:c r="G39" s="48" t="str">
        <x:v>marine_aquaculture</x:v>
      </x:c>
      <x:c r="H39" s="48" t="str">
        <x:v>海水养殖</x:v>
      </x:c>
      <x:c r="I39" s="48" t="n">
        <x:v>2</x:v>
      </x:c>
      <x:c r="J39" s="48" t="str">
        <x:v>deep_processing</x:v>
      </x:c>
      <x:c r="K39" s="48" t="str">
        <x:v>深加工</x:v>
      </x:c>
      <x:c r="L39" s="54" t="n">
        <x:v>0</x:v>
      </x:c>
      <x:c r="M39" s="54" t="n">
        <x:v>0</x:v>
      </x:c>
      <x:c r="N39" s="55" t="n">
        <x:v>0.26</x:v>
      </x:c>
      <x:c r="O39" s="54" t="n">
        <x:v>0</x:v>
      </x:c>
      <x:c r="P39" s="54" t="n">
        <x:v>0</x:v>
      </x:c>
      <x:c r="Q39" s="55" t="n">
        <x:v>0.001563030920829086</x:v>
      </x:c>
      <x:c r="R39" s="55" t="n">
        <x:v>0.47256080998864214</x:v>
      </x:c>
      <x:c r="S39" s="55" t="n">
        <x:v>0.9700585757854481</x:v>
      </x:c>
      <x:c r="T39" s="55" t="n">
        <x:v>1.0308655837512788</x:v>
      </x:c>
      <x:c r="U39" s="55" t="n">
        <x:v>0.5896268915409931</x:v>
      </x:c>
      <x:c r="V39" s="55" t="n">
        <x:v>0.7936305879606524</x:v>
      </x:c>
      <x:c r="W39" s="55" t="n">
        <x:v>0.8734355995734412</x:v>
      </x:c>
      <x:c r="X39" s="55" t="n">
        <x:v>0.8879693201279676</x:v>
      </x:c>
      <x:c r="Y39" s="54" t="n">
        <x:v>63722.447961912054</x:v>
      </x:c>
      <x:c r="Z39" s="54" t="n">
        <x:v>41394.1349106723</x:v>
      </x:c>
      <x:c r="AA39" s="54" t="n">
        <x:v>19050.762156400597</x:v>
      </x:c>
      <x:c r="AB39" s="55" t="n">
        <x:v>1.02</x:v>
      </x:c>
      <x:c r="AC39" s="55" t="n">
        <x:v>1.16</x:v>
      </x:c>
      <x:c r="AD39" s="55" t="n">
        <x:v>0.41</x:v>
      </x:c>
      <x:c r="AE39" s="55" t="n">
        <x:v>0.81</x:v>
      </x:c>
      <x:c r="AF39" s="55" t="n">
        <x:v>0.11</x:v>
      </x:c>
      <x:c r="AG39" s="53" t="str">
        <x:v>NBS China Statistical Yearbook 2025, Table 12-15</x:v>
      </x:c>
      <x:c r="AH39" s="53" t="str">
        <x:v>calibrated reconstruction; not historical author input</x:v>
      </x:c>
    </x:row>
    <x:row r="40" ht="32" hidden="0" customHeight="1">
      <x:c r="A40" s="48" t="str">
        <x:v>x_r05_s4_m1</x:v>
      </x:c>
      <x:c r="B40" s="48" t="str">
        <x:v>r05</x:v>
      </x:c>
      <x:c r="C40" s="48" t="str">
        <x:v>CN-NM</x:v>
      </x:c>
      <x:c r="D40" s="48" t="str">
        <x:v>Inner Mongolia</x:v>
      </x:c>
      <x:c r="E40" s="48" t="str">
        <x:v>内蒙古</x:v>
      </x:c>
      <x:c r="F40" s="48" t="n">
        <x:v>4</x:v>
      </x:c>
      <x:c r="G40" s="48" t="str">
        <x:v>freshwater_aquaculture</x:v>
      </x:c>
      <x:c r="H40" s="48" t="str">
        <x:v>淡水养殖</x:v>
      </x:c>
      <x:c r="I40" s="48" t="n">
        <x:v>1</x:v>
      </x:c>
      <x:c r="J40" s="48" t="str">
        <x:v>fresh_sales</x:v>
      </x:c>
      <x:c r="K40" s="48" t="str">
        <x:v>鲜销</x:v>
      </x:c>
      <x:c r="L40" s="54" t="n">
        <x:v>104000</x:v>
      </x:c>
      <x:c r="M40" s="54" t="n">
        <x:v>100588.76607543323</x:v>
      </x:c>
      <x:c r="N40" s="55" t="n">
        <x:v>0.78</x:v>
      </x:c>
      <x:c r="O40" s="54" t="n">
        <x:v>78459.23753883793</x:v>
      </x:c>
      <x:c r="P40" s="54" t="n">
        <x:v>94151.08504660551</x:v>
      </x:c>
      <x:c r="Q40" s="55" t="n">
        <x:v>0.001563030920829086</x:v>
      </x:c>
      <x:c r="R40" s="55" t="n">
        <x:v>0.47256080998864214</x:v>
      </x:c>
      <x:c r="S40" s="55" t="n">
        <x:v>0.9700585757854481</x:v>
      </x:c>
      <x:c r="T40" s="55" t="n">
        <x:v>1.0308655837512788</x:v>
      </x:c>
      <x:c r="U40" s="55" t="n">
        <x:v>0.5896268915409931</x:v>
      </x:c>
      <x:c r="V40" s="55" t="n">
        <x:v>0.7936305879606524</x:v>
      </x:c>
      <x:c r="W40" s="55" t="n">
        <x:v>0.8734355995734412</x:v>
      </x:c>
      <x:c r="X40" s="55" t="n">
        <x:v>0.8879693201279676</x:v>
      </x:c>
      <x:c r="Y40" s="54" t="n">
        <x:v>63722.447961912054</x:v>
      </x:c>
      <x:c r="Z40" s="54" t="n">
        <x:v>41394.1349106723</x:v>
      </x:c>
      <x:c r="AA40" s="54" t="n">
        <x:v>19050.762156400597</x:v>
      </x:c>
      <x:c r="AB40" s="55" t="n">
        <x:v>0.88</x:v>
      </x:c>
      <x:c r="AC40" s="55" t="n">
        <x:v>0.84</x:v>
      </x:c>
      <x:c r="AD40" s="55" t="n">
        <x:v>0.31</x:v>
      </x:c>
      <x:c r="AE40" s="55" t="n">
        <x:v>0.88</x:v>
      </x:c>
      <x:c r="AF40" s="55" t="n">
        <x:v>0.08</x:v>
      </x:c>
      <x:c r="AG40" s="53" t="str">
        <x:v>NBS China Statistical Yearbook 2025, Table 12-15</x:v>
      </x:c>
      <x:c r="AH40" s="53" t="str">
        <x:v>calibrated reconstruction; not historical author input</x:v>
      </x:c>
    </x:row>
    <x:row r="41" ht="32" hidden="0" customHeight="1">
      <x:c r="A41" s="48" t="str">
        <x:v>x_r05_s4_m2</x:v>
      </x:c>
      <x:c r="B41" s="48" t="str">
        <x:v>r05</x:v>
      </x:c>
      <x:c r="C41" s="48" t="str">
        <x:v>CN-NM</x:v>
      </x:c>
      <x:c r="D41" s="48" t="str">
        <x:v>Inner Mongolia</x:v>
      </x:c>
      <x:c r="E41" s="48" t="str">
        <x:v>内蒙古</x:v>
      </x:c>
      <x:c r="F41" s="48" t="n">
        <x:v>4</x:v>
      </x:c>
      <x:c r="G41" s="48" t="str">
        <x:v>freshwater_aquaculture</x:v>
      </x:c>
      <x:c r="H41" s="48" t="str">
        <x:v>淡水养殖</x:v>
      </x:c>
      <x:c r="I41" s="48" t="n">
        <x:v>2</x:v>
      </x:c>
      <x:c r="J41" s="48" t="str">
        <x:v>deep_processing</x:v>
      </x:c>
      <x:c r="K41" s="48" t="str">
        <x:v>深加工</x:v>
      </x:c>
      <x:c r="L41" s="54" t="n">
        <x:v>104000</x:v>
      </x:c>
      <x:c r="M41" s="54" t="n">
        <x:v>100588.76607543323</x:v>
      </x:c>
      <x:c r="N41" s="55" t="n">
        <x:v>0.22</x:v>
      </x:c>
      <x:c r="O41" s="54" t="n">
        <x:v>22129.52853659531</x:v>
      </x:c>
      <x:c r="P41" s="54" t="n">
        <x:v>26555.43424391437</x:v>
      </x:c>
      <x:c r="Q41" s="55" t="n">
        <x:v>0.001563030920829086</x:v>
      </x:c>
      <x:c r="R41" s="55" t="n">
        <x:v>0.47256080998864214</x:v>
      </x:c>
      <x:c r="S41" s="55" t="n">
        <x:v>0.9700585757854481</x:v>
      </x:c>
      <x:c r="T41" s="55" t="n">
        <x:v>1.0308655837512788</x:v>
      </x:c>
      <x:c r="U41" s="55" t="n">
        <x:v>0.5896268915409931</x:v>
      </x:c>
      <x:c r="V41" s="55" t="n">
        <x:v>0.7936305879606524</x:v>
      </x:c>
      <x:c r="W41" s="55" t="n">
        <x:v>0.8734355995734412</x:v>
      </x:c>
      <x:c r="X41" s="55" t="n">
        <x:v>0.8879693201279676</x:v>
      </x:c>
      <x:c r="Y41" s="54" t="n">
        <x:v>63722.447961912054</x:v>
      </x:c>
      <x:c r="Z41" s="54" t="n">
        <x:v>41394.1349106723</x:v>
      </x:c>
      <x:c r="AA41" s="54" t="n">
        <x:v>19050.762156400597</x:v>
      </x:c>
      <x:c r="AB41" s="55" t="n">
        <x:v>1.06</x:v>
      </x:c>
      <x:c r="AC41" s="55" t="n">
        <x:v>1.2</x:v>
      </x:c>
      <x:c r="AD41" s="55" t="n">
        <x:v>0.39</x:v>
      </x:c>
      <x:c r="AE41" s="55" t="n">
        <x:v>0.91</x:v>
      </x:c>
      <x:c r="AF41" s="55" t="n">
        <x:v>0.08</x:v>
      </x:c>
      <x:c r="AG41" s="53" t="str">
        <x:v>NBS China Statistical Yearbook 2025, Table 12-15</x:v>
      </x:c>
      <x:c r="AH41" s="53" t="str">
        <x:v>calibrated reconstruction; not historical author input</x:v>
      </x:c>
    </x:row>
    <x:row r="42" ht="32" hidden="0" customHeight="1">
      <x:c r="A42" s="48" t="str">
        <x:v>x_r06_s1_m1</x:v>
      </x:c>
      <x:c r="B42" s="48" t="str">
        <x:v>r06</x:v>
      </x:c>
      <x:c r="C42" s="48" t="str">
        <x:v>CN-LN</x:v>
      </x:c>
      <x:c r="D42" s="48" t="str">
        <x:v>Liaoning</x:v>
      </x:c>
      <x:c r="E42" s="48" t="str">
        <x:v>辽宁</x:v>
      </x:c>
      <x:c r="F42" s="48" t="n">
        <x:v>1</x:v>
      </x:c>
      <x:c r="G42" s="48" t="str">
        <x:v>marine_capture</x:v>
      </x:c>
      <x:c r="H42" s="48" t="str">
        <x:v>海洋捕捞</x:v>
      </x:c>
      <x:c r="I42" s="48" t="n">
        <x:v>1</x:v>
      </x:c>
      <x:c r="J42" s="48" t="str">
        <x:v>fresh_sales</x:v>
      </x:c>
      <x:c r="K42" s="48" t="str">
        <x:v>鲜销</x:v>
      </x:c>
      <x:c r="L42" s="54" t="n">
        <x:v>697000</x:v>
      </x:c>
      <x:c r="M42" s="54" t="n">
        <x:v>674138.1726401631</x:v>
      </x:c>
      <x:c r="N42" s="55" t="n">
        <x:v>0.62</x:v>
      </x:c>
      <x:c r="O42" s="54" t="n">
        <x:v>417965.6670369011</x:v>
      </x:c>
      <x:c r="P42" s="54" t="n">
        <x:v>501558.8004442813</x:v>
      </x:c>
      <x:c r="Q42" s="55" t="n">
        <x:v>0.07283724091063541</x:v>
      </x:c>
      <x:c r="R42" s="55" t="n">
        <x:v>0.3180388610104413</x:v>
      </x:c>
      <x:c r="S42" s="55" t="n">
        <x:v>0.9644188410708234</x:v>
      </x:c>
      <x:c r="T42" s="55" t="n">
        <x:v>1.0368938861560084</x:v>
      </x:c>
      <x:c r="U42" s="55" t="n">
        <x:v>0.573416144828374</x:v>
      </x:c>
      <x:c r="V42" s="55" t="n">
        <x:v>0.7993043493100691</x:v>
      </x:c>
      <x:c r="W42" s="55" t="n">
        <x:v>0.8052438264394459</x:v>
      </x:c>
      <x:c r="X42" s="55" t="n">
        <x:v>0.9084268520681662</x:v>
      </x:c>
      <x:c r="Y42" s="54" t="n">
        <x:v>729432.4449158771</x:v>
      </x:c>
      <x:c r="Z42" s="54" t="n">
        <x:v>1851206.9893364627</x:v>
      </x:c>
      <x:c r="AA42" s="54" t="n">
        <x:v>1135027.348894327</x:v>
      </x:c>
      <x:c r="AB42" s="55" t="n">
        <x:v>0.65</x:v>
      </x:c>
      <x:c r="AC42" s="55" t="n">
        <x:v>0.62</x:v>
      </x:c>
      <x:c r="AD42" s="55" t="n">
        <x:v>0.29</x:v>
      </x:c>
      <x:c r="AE42" s="55" t="n">
        <x:v>0.28</x:v>
      </x:c>
      <x:c r="AF42" s="55" t="n">
        <x:v>1</x:v>
      </x:c>
      <x:c r="AG42" s="53" t="str">
        <x:v>NBS China Statistical Yearbook 2025, Table 12-15</x:v>
      </x:c>
      <x:c r="AH42" s="53" t="str">
        <x:v>calibrated reconstruction; not historical author input</x:v>
      </x:c>
    </x:row>
    <x:row r="43" ht="32" hidden="0" customHeight="1">
      <x:c r="A43" s="48" t="str">
        <x:v>x_r06_s1_m2</x:v>
      </x:c>
      <x:c r="B43" s="48" t="str">
        <x:v>r06</x:v>
      </x:c>
      <x:c r="C43" s="48" t="str">
        <x:v>CN-LN</x:v>
      </x:c>
      <x:c r="D43" s="48" t="str">
        <x:v>Liaoning</x:v>
      </x:c>
      <x:c r="E43" s="48" t="str">
        <x:v>辽宁</x:v>
      </x:c>
      <x:c r="F43" s="48" t="n">
        <x:v>1</x:v>
      </x:c>
      <x:c r="G43" s="48" t="str">
        <x:v>marine_capture</x:v>
      </x:c>
      <x:c r="H43" s="48" t="str">
        <x:v>海洋捕捞</x:v>
      </x:c>
      <x:c r="I43" s="48" t="n">
        <x:v>2</x:v>
      </x:c>
      <x:c r="J43" s="48" t="str">
        <x:v>deep_processing</x:v>
      </x:c>
      <x:c r="K43" s="48" t="str">
        <x:v>深加工</x:v>
      </x:c>
      <x:c r="L43" s="54" t="n">
        <x:v>697000</x:v>
      </x:c>
      <x:c r="M43" s="54" t="n">
        <x:v>674138.1726401631</x:v>
      </x:c>
      <x:c r="N43" s="55" t="n">
        <x:v>0.38</x:v>
      </x:c>
      <x:c r="O43" s="54" t="n">
        <x:v>256172.505603262</x:v>
      </x:c>
      <x:c r="P43" s="54" t="n">
        <x:v>307407.00672391435</x:v>
      </x:c>
      <x:c r="Q43" s="55" t="n">
        <x:v>0.07283724091063541</x:v>
      </x:c>
      <x:c r="R43" s="55" t="n">
        <x:v>0.3180388610104413</x:v>
      </x:c>
      <x:c r="S43" s="55" t="n">
        <x:v>0.9644188410708234</x:v>
      </x:c>
      <x:c r="T43" s="55" t="n">
        <x:v>1.0368938861560084</x:v>
      </x:c>
      <x:c r="U43" s="55" t="n">
        <x:v>0.573416144828374</x:v>
      </x:c>
      <x:c r="V43" s="55" t="n">
        <x:v>0.7993043493100691</x:v>
      </x:c>
      <x:c r="W43" s="55" t="n">
        <x:v>0.8052438264394459</x:v>
      </x:c>
      <x:c r="X43" s="55" t="n">
        <x:v>0.9084268520681662</x:v>
      </x:c>
      <x:c r="Y43" s="54" t="n">
        <x:v>729432.4449158771</x:v>
      </x:c>
      <x:c r="Z43" s="54" t="n">
        <x:v>1851206.9893364627</x:v>
      </x:c>
      <x:c r="AA43" s="54" t="n">
        <x:v>1135027.348894327</x:v>
      </x:c>
      <x:c r="AB43" s="55" t="n">
        <x:v>0.82</x:v>
      </x:c>
      <x:c r="AC43" s="55" t="n">
        <x:v>0.95</x:v>
      </x:c>
      <x:c r="AD43" s="55" t="n">
        <x:v>0.36</x:v>
      </x:c>
      <x:c r="AE43" s="55" t="n">
        <x:v>0.31</x:v>
      </x:c>
      <x:c r="AF43" s="55" t="n">
        <x:v>1</x:v>
      </x:c>
      <x:c r="AG43" s="53" t="str">
        <x:v>NBS China Statistical Yearbook 2025, Table 12-15</x:v>
      </x:c>
      <x:c r="AH43" s="53" t="str">
        <x:v>calibrated reconstruction; not historical author input</x:v>
      </x:c>
    </x:row>
    <x:row r="44" ht="32" hidden="0" customHeight="1">
      <x:c r="A44" s="48" t="str">
        <x:v>x_r06_s2_m1</x:v>
      </x:c>
      <x:c r="B44" s="48" t="str">
        <x:v>r06</x:v>
      </x:c>
      <x:c r="C44" s="48" t="str">
        <x:v>CN-LN</x:v>
      </x:c>
      <x:c r="D44" s="48" t="str">
        <x:v>Liaoning</x:v>
      </x:c>
      <x:c r="E44" s="48" t="str">
        <x:v>辽宁</x:v>
      </x:c>
      <x:c r="F44" s="48" t="n">
        <x:v>2</x:v>
      </x:c>
      <x:c r="G44" s="48" t="str">
        <x:v>freshwater_capture</x:v>
      </x:c>
      <x:c r="H44" s="48" t="str">
        <x:v>淡水捕捞</x:v>
      </x:c>
      <x:c r="I44" s="48" t="n">
        <x:v>1</x:v>
      </x:c>
      <x:c r="J44" s="48" t="str">
        <x:v>fresh_sales</x:v>
      </x:c>
      <x:c r="K44" s="48" t="str">
        <x:v>鲜销</x:v>
      </x:c>
      <x:c r="L44" s="54" t="n">
        <x:v>33000</x:v>
      </x:c>
      <x:c r="M44" s="54" t="n">
        <x:v>31917.589235474006</x:v>
      </x:c>
      <x:c r="N44" s="55" t="n">
        <x:v>0.67</x:v>
      </x:c>
      <x:c r="O44" s="54" t="n">
        <x:v>21384.784787767585</x:v>
      </x:c>
      <x:c r="P44" s="54" t="n">
        <x:v>25661.741745321102</x:v>
      </x:c>
      <x:c r="Q44" s="55" t="n">
        <x:v>0.07283724091063541</x:v>
      </x:c>
      <x:c r="R44" s="55" t="n">
        <x:v>0.3180388610104413</x:v>
      </x:c>
      <x:c r="S44" s="55" t="n">
        <x:v>0.9644188410708234</x:v>
      </x:c>
      <x:c r="T44" s="55" t="n">
        <x:v>1.0368938861560084</x:v>
      </x:c>
      <x:c r="U44" s="55" t="n">
        <x:v>0.573416144828374</x:v>
      </x:c>
      <x:c r="V44" s="55" t="n">
        <x:v>0.7993043493100691</x:v>
      </x:c>
      <x:c r="W44" s="55" t="n">
        <x:v>0.8052438264394459</x:v>
      </x:c>
      <x:c r="X44" s="55" t="n">
        <x:v>0.9084268520681662</x:v>
      </x:c>
      <x:c r="Y44" s="54" t="n">
        <x:v>729432.4449158771</x:v>
      </x:c>
      <x:c r="Z44" s="54" t="n">
        <x:v>1851206.9893364627</x:v>
      </x:c>
      <x:c r="AA44" s="54" t="n">
        <x:v>1135027.348894327</x:v>
      </x:c>
      <x:c r="AB44" s="55" t="n">
        <x:v>0.7</x:v>
      </x:c>
      <x:c r="AC44" s="55" t="n">
        <x:v>0.67</x:v>
      </x:c>
      <x:c r="AD44" s="55" t="n">
        <x:v>0.26</x:v>
      </x:c>
      <x:c r="AE44" s="55" t="n">
        <x:v>0.42</x:v>
      </x:c>
      <x:c r="AF44" s="55" t="n">
        <x:v>0.7</x:v>
      </x:c>
      <x:c r="AG44" s="53" t="str">
        <x:v>NBS China Statistical Yearbook 2025, Table 12-15</x:v>
      </x:c>
      <x:c r="AH44" s="53" t="str">
        <x:v>calibrated reconstruction; not historical author input</x:v>
      </x:c>
    </x:row>
    <x:row r="45" ht="32" hidden="0" customHeight="1">
      <x:c r="A45" s="48" t="str">
        <x:v>x_r06_s2_m2</x:v>
      </x:c>
      <x:c r="B45" s="48" t="str">
        <x:v>r06</x:v>
      </x:c>
      <x:c r="C45" s="48" t="str">
        <x:v>CN-LN</x:v>
      </x:c>
      <x:c r="D45" s="48" t="str">
        <x:v>Liaoning</x:v>
      </x:c>
      <x:c r="E45" s="48" t="str">
        <x:v>辽宁</x:v>
      </x:c>
      <x:c r="F45" s="48" t="n">
        <x:v>2</x:v>
      </x:c>
      <x:c r="G45" s="48" t="str">
        <x:v>freshwater_capture</x:v>
      </x:c>
      <x:c r="H45" s="48" t="str">
        <x:v>淡水捕捞</x:v>
      </x:c>
      <x:c r="I45" s="48" t="n">
        <x:v>2</x:v>
      </x:c>
      <x:c r="J45" s="48" t="str">
        <x:v>deep_processing</x:v>
      </x:c>
      <x:c r="K45" s="48" t="str">
        <x:v>深加工</x:v>
      </x:c>
      <x:c r="L45" s="54" t="n">
        <x:v>33000</x:v>
      </x:c>
      <x:c r="M45" s="54" t="n">
        <x:v>31917.589235474006</x:v>
      </x:c>
      <x:c r="N45" s="55" t="n">
        <x:v>0.33</x:v>
      </x:c>
      <x:c r="O45" s="54" t="n">
        <x:v>10532.804447706423</x:v>
      </x:c>
      <x:c r="P45" s="54" t="n">
        <x:v>12639.365337247707</x:v>
      </x:c>
      <x:c r="Q45" s="55" t="n">
        <x:v>0.07283724091063541</x:v>
      </x:c>
      <x:c r="R45" s="55" t="n">
        <x:v>0.3180388610104413</x:v>
      </x:c>
      <x:c r="S45" s="55" t="n">
        <x:v>0.9644188410708234</x:v>
      </x:c>
      <x:c r="T45" s="55" t="n">
        <x:v>1.0368938861560084</x:v>
      </x:c>
      <x:c r="U45" s="55" t="n">
        <x:v>0.573416144828374</x:v>
      </x:c>
      <x:c r="V45" s="55" t="n">
        <x:v>0.7993043493100691</x:v>
      </x:c>
      <x:c r="W45" s="55" t="n">
        <x:v>0.8052438264394459</x:v>
      </x:c>
      <x:c r="X45" s="55" t="n">
        <x:v>0.9084268520681662</x:v>
      </x:c>
      <x:c r="Y45" s="54" t="n">
        <x:v>729432.4449158771</x:v>
      </x:c>
      <x:c r="Z45" s="54" t="n">
        <x:v>1851206.9893364627</x:v>
      </x:c>
      <x:c r="AA45" s="54" t="n">
        <x:v>1135027.348894327</x:v>
      </x:c>
      <x:c r="AB45" s="55" t="n">
        <x:v>0.86</x:v>
      </x:c>
      <x:c r="AC45" s="55" t="n">
        <x:v>0.99</x:v>
      </x:c>
      <x:c r="AD45" s="55" t="n">
        <x:v>0.34</x:v>
      </x:c>
      <x:c r="AE45" s="55" t="n">
        <x:v>0.45</x:v>
      </x:c>
      <x:c r="AF45" s="55" t="n">
        <x:v>0.7</x:v>
      </x:c>
      <x:c r="AG45" s="53" t="str">
        <x:v>NBS China Statistical Yearbook 2025, Table 12-15</x:v>
      </x:c>
      <x:c r="AH45" s="53" t="str">
        <x:v>calibrated reconstruction; not historical author input</x:v>
      </x:c>
    </x:row>
    <x:row r="46" ht="32" hidden="0" customHeight="1">
      <x:c r="A46" s="48" t="str">
        <x:v>x_r06_s3_m1</x:v>
      </x:c>
      <x:c r="B46" s="48" t="str">
        <x:v>r06</x:v>
      </x:c>
      <x:c r="C46" s="48" t="str">
        <x:v>CN-LN</x:v>
      </x:c>
      <x:c r="D46" s="48" t="str">
        <x:v>Liaoning</x:v>
      </x:c>
      <x:c r="E46" s="48" t="str">
        <x:v>辽宁</x:v>
      </x:c>
      <x:c r="F46" s="48" t="n">
        <x:v>3</x:v>
      </x:c>
      <x:c r="G46" s="48" t="str">
        <x:v>marine_aquaculture</x:v>
      </x:c>
      <x:c r="H46" s="48" t="str">
        <x:v>海水养殖</x:v>
      </x:c>
      <x:c r="I46" s="48" t="n">
        <x:v>1</x:v>
      </x:c>
      <x:c r="J46" s="48" t="str">
        <x:v>fresh_sales</x:v>
      </x:c>
      <x:c r="K46" s="48" t="str">
        <x:v>鲜销</x:v>
      </x:c>
      <x:c r="L46" s="54" t="n">
        <x:v>3823000</x:v>
      </x:c>
      <x:c r="M46" s="54" t="n">
        <x:v>3697604.3529459736</x:v>
      </x:c>
      <x:c r="N46" s="55" t="n">
        <x:v>0.74</x:v>
      </x:c>
      <x:c r="O46" s="54" t="n">
        <x:v>2736227.2211800204</x:v>
      </x:c>
      <x:c r="P46" s="54" t="n">
        <x:v>3283472.665416024</x:v>
      </x:c>
      <x:c r="Q46" s="55" t="n">
        <x:v>0.07283724091063541</x:v>
      </x:c>
      <x:c r="R46" s="55" t="n">
        <x:v>0.3180388610104413</x:v>
      </x:c>
      <x:c r="S46" s="55" t="n">
        <x:v>0.9644188410708234</x:v>
      </x:c>
      <x:c r="T46" s="55" t="n">
        <x:v>1.0368938861560084</x:v>
      </x:c>
      <x:c r="U46" s="55" t="n">
        <x:v>0.573416144828374</x:v>
      </x:c>
      <x:c r="V46" s="55" t="n">
        <x:v>0.7993043493100691</x:v>
      </x:c>
      <x:c r="W46" s="55" t="n">
        <x:v>0.8052438264394459</x:v>
      </x:c>
      <x:c r="X46" s="55" t="n">
        <x:v>0.9084268520681662</x:v>
      </x:c>
      <x:c r="Y46" s="54" t="n">
        <x:v>729432.4449158771</x:v>
      </x:c>
      <x:c r="Z46" s="54" t="n">
        <x:v>1851206.9893364627</x:v>
      </x:c>
      <x:c r="AA46" s="54" t="n">
        <x:v>1135027.348894327</x:v>
      </x:c>
      <x:c r="AB46" s="55" t="n">
        <x:v>0.84</x:v>
      </x:c>
      <x:c r="AC46" s="55" t="n">
        <x:v>0.8</x:v>
      </x:c>
      <x:c r="AD46" s="55" t="n">
        <x:v>0.33</x:v>
      </x:c>
      <x:c r="AE46" s="55" t="n">
        <x:v>0.78</x:v>
      </x:c>
      <x:c r="AF46" s="55" t="n">
        <x:v>0.11</x:v>
      </x:c>
      <x:c r="AG46" s="53" t="str">
        <x:v>NBS China Statistical Yearbook 2025, Table 12-15</x:v>
      </x:c>
      <x:c r="AH46" s="53" t="str">
        <x:v>calibrated reconstruction; not historical author input</x:v>
      </x:c>
    </x:row>
    <x:row r="47" ht="32" hidden="0" customHeight="1">
      <x:c r="A47" s="48" t="str">
        <x:v>x_r06_s3_m2</x:v>
      </x:c>
      <x:c r="B47" s="48" t="str">
        <x:v>r06</x:v>
      </x:c>
      <x:c r="C47" s="48" t="str">
        <x:v>CN-LN</x:v>
      </x:c>
      <x:c r="D47" s="48" t="str">
        <x:v>Liaoning</x:v>
      </x:c>
      <x:c r="E47" s="48" t="str">
        <x:v>辽宁</x:v>
      </x:c>
      <x:c r="F47" s="48" t="n">
        <x:v>3</x:v>
      </x:c>
      <x:c r="G47" s="48" t="str">
        <x:v>marine_aquaculture</x:v>
      </x:c>
      <x:c r="H47" s="48" t="str">
        <x:v>海水养殖</x:v>
      </x:c>
      <x:c r="I47" s="48" t="n">
        <x:v>2</x:v>
      </x:c>
      <x:c r="J47" s="48" t="str">
        <x:v>deep_processing</x:v>
      </x:c>
      <x:c r="K47" s="48" t="str">
        <x:v>深加工</x:v>
      </x:c>
      <x:c r="L47" s="54" t="n">
        <x:v>3823000</x:v>
      </x:c>
      <x:c r="M47" s="54" t="n">
        <x:v>3697604.3529459736</x:v>
      </x:c>
      <x:c r="N47" s="55" t="n">
        <x:v>0.26</x:v>
      </x:c>
      <x:c r="O47" s="54" t="n">
        <x:v>961377.1317659531</x:v>
      </x:c>
      <x:c r="P47" s="54" t="n">
        <x:v>1153652.5581191438</x:v>
      </x:c>
      <x:c r="Q47" s="55" t="n">
        <x:v>0.07283724091063541</x:v>
      </x:c>
      <x:c r="R47" s="55" t="n">
        <x:v>0.3180388610104413</x:v>
      </x:c>
      <x:c r="S47" s="55" t="n">
        <x:v>0.9644188410708234</x:v>
      </x:c>
      <x:c r="T47" s="55" t="n">
        <x:v>1.0368938861560084</x:v>
      </x:c>
      <x:c r="U47" s="55" t="n">
        <x:v>0.573416144828374</x:v>
      </x:c>
      <x:c r="V47" s="55" t="n">
        <x:v>0.7993043493100691</x:v>
      </x:c>
      <x:c r="W47" s="55" t="n">
        <x:v>0.8052438264394459</x:v>
      </x:c>
      <x:c r="X47" s="55" t="n">
        <x:v>0.9084268520681662</x:v>
      </x:c>
      <x:c r="Y47" s="54" t="n">
        <x:v>729432.4449158771</x:v>
      </x:c>
      <x:c r="Z47" s="54" t="n">
        <x:v>1851206.9893364627</x:v>
      </x:c>
      <x:c r="AA47" s="54" t="n">
        <x:v>1135027.348894327</x:v>
      </x:c>
      <x:c r="AB47" s="55" t="n">
        <x:v>1.02</x:v>
      </x:c>
      <x:c r="AC47" s="55" t="n">
        <x:v>1.16</x:v>
      </x:c>
      <x:c r="AD47" s="55" t="n">
        <x:v>0.41</x:v>
      </x:c>
      <x:c r="AE47" s="55" t="n">
        <x:v>0.81</x:v>
      </x:c>
      <x:c r="AF47" s="55" t="n">
        <x:v>0.11</x:v>
      </x:c>
      <x:c r="AG47" s="53" t="str">
        <x:v>NBS China Statistical Yearbook 2025, Table 12-15</x:v>
      </x:c>
      <x:c r="AH47" s="53" t="str">
        <x:v>calibrated reconstruction; not historical author input</x:v>
      </x:c>
    </x:row>
    <x:row r="48" ht="32" hidden="0" customHeight="1">
      <x:c r="A48" s="48" t="str">
        <x:v>x_r06_s4_m1</x:v>
      </x:c>
      <x:c r="B48" s="48" t="str">
        <x:v>r06</x:v>
      </x:c>
      <x:c r="C48" s="48" t="str">
        <x:v>CN-LN</x:v>
      </x:c>
      <x:c r="D48" s="48" t="str">
        <x:v>Liaoning</x:v>
      </x:c>
      <x:c r="E48" s="48" t="str">
        <x:v>辽宁</x:v>
      </x:c>
      <x:c r="F48" s="48" t="n">
        <x:v>4</x:v>
      </x:c>
      <x:c r="G48" s="48" t="str">
        <x:v>freshwater_aquaculture</x:v>
      </x:c>
      <x:c r="H48" s="48" t="str">
        <x:v>淡水养殖</x:v>
      </x:c>
      <x:c r="I48" s="48" t="n">
        <x:v>1</x:v>
      </x:c>
      <x:c r="J48" s="48" t="str">
        <x:v>fresh_sales</x:v>
      </x:c>
      <x:c r="K48" s="48" t="str">
        <x:v>鲜销</x:v>
      </x:c>
      <x:c r="L48" s="54" t="n">
        <x:v>806000</x:v>
      </x:c>
      <x:c r="M48" s="54" t="n">
        <x:v>779562.9370846075</x:v>
      </x:c>
      <x:c r="N48" s="55" t="n">
        <x:v>0.78</x:v>
      </x:c>
      <x:c r="O48" s="54" t="n">
        <x:v>608059.0909259939</x:v>
      </x:c>
      <x:c r="P48" s="54" t="n">
        <x:v>729670.9091111926</x:v>
      </x:c>
      <x:c r="Q48" s="55" t="n">
        <x:v>0.07283724091063541</x:v>
      </x:c>
      <x:c r="R48" s="55" t="n">
        <x:v>0.3180388610104413</x:v>
      </x:c>
      <x:c r="S48" s="55" t="n">
        <x:v>0.9644188410708234</x:v>
      </x:c>
      <x:c r="T48" s="55" t="n">
        <x:v>1.0368938861560084</x:v>
      </x:c>
      <x:c r="U48" s="55" t="n">
        <x:v>0.573416144828374</x:v>
      </x:c>
      <x:c r="V48" s="55" t="n">
        <x:v>0.7993043493100691</x:v>
      </x:c>
      <x:c r="W48" s="55" t="n">
        <x:v>0.8052438264394459</x:v>
      </x:c>
      <x:c r="X48" s="55" t="n">
        <x:v>0.9084268520681662</x:v>
      </x:c>
      <x:c r="Y48" s="54" t="n">
        <x:v>729432.4449158771</x:v>
      </x:c>
      <x:c r="Z48" s="54" t="n">
        <x:v>1851206.9893364627</x:v>
      </x:c>
      <x:c r="AA48" s="54" t="n">
        <x:v>1135027.348894327</x:v>
      </x:c>
      <x:c r="AB48" s="55" t="n">
        <x:v>0.88</x:v>
      </x:c>
      <x:c r="AC48" s="55" t="n">
        <x:v>0.84</x:v>
      </x:c>
      <x:c r="AD48" s="55" t="n">
        <x:v>0.31</x:v>
      </x:c>
      <x:c r="AE48" s="55" t="n">
        <x:v>0.88</x:v>
      </x:c>
      <x:c r="AF48" s="55" t="n">
        <x:v>0.08</x:v>
      </x:c>
      <x:c r="AG48" s="53" t="str">
        <x:v>NBS China Statistical Yearbook 2025, Table 12-15</x:v>
      </x:c>
      <x:c r="AH48" s="53" t="str">
        <x:v>calibrated reconstruction; not historical author input</x:v>
      </x:c>
    </x:row>
    <x:row r="49" ht="32" hidden="0" customHeight="1">
      <x:c r="A49" s="48" t="str">
        <x:v>x_r06_s4_m2</x:v>
      </x:c>
      <x:c r="B49" s="48" t="str">
        <x:v>r06</x:v>
      </x:c>
      <x:c r="C49" s="48" t="str">
        <x:v>CN-LN</x:v>
      </x:c>
      <x:c r="D49" s="48" t="str">
        <x:v>Liaoning</x:v>
      </x:c>
      <x:c r="E49" s="48" t="str">
        <x:v>辽宁</x:v>
      </x:c>
      <x:c r="F49" s="48" t="n">
        <x:v>4</x:v>
      </x:c>
      <x:c r="G49" s="48" t="str">
        <x:v>freshwater_aquaculture</x:v>
      </x:c>
      <x:c r="H49" s="48" t="str">
        <x:v>淡水养殖</x:v>
      </x:c>
      <x:c r="I49" s="48" t="n">
        <x:v>2</x:v>
      </x:c>
      <x:c r="J49" s="48" t="str">
        <x:v>deep_processing</x:v>
      </x:c>
      <x:c r="K49" s="48" t="str">
        <x:v>深加工</x:v>
      </x:c>
      <x:c r="L49" s="54" t="n">
        <x:v>806000</x:v>
      </x:c>
      <x:c r="M49" s="54" t="n">
        <x:v>779562.9370846075</x:v>
      </x:c>
      <x:c r="N49" s="55" t="n">
        <x:v>0.22</x:v>
      </x:c>
      <x:c r="O49" s="54" t="n">
        <x:v>171503.84615861365</x:v>
      </x:c>
      <x:c r="P49" s="54" t="n">
        <x:v>205804.61539033637</x:v>
      </x:c>
      <x:c r="Q49" s="55" t="n">
        <x:v>0.07283724091063541</x:v>
      </x:c>
      <x:c r="R49" s="55" t="n">
        <x:v>0.3180388610104413</x:v>
      </x:c>
      <x:c r="S49" s="55" t="n">
        <x:v>0.9644188410708234</x:v>
      </x:c>
      <x:c r="T49" s="55" t="n">
        <x:v>1.0368938861560084</x:v>
      </x:c>
      <x:c r="U49" s="55" t="n">
        <x:v>0.573416144828374</x:v>
      </x:c>
      <x:c r="V49" s="55" t="n">
        <x:v>0.7993043493100691</x:v>
      </x:c>
      <x:c r="W49" s="55" t="n">
        <x:v>0.8052438264394459</x:v>
      </x:c>
      <x:c r="X49" s="55" t="n">
        <x:v>0.9084268520681662</x:v>
      </x:c>
      <x:c r="Y49" s="54" t="n">
        <x:v>729432.4449158771</x:v>
      </x:c>
      <x:c r="Z49" s="54" t="n">
        <x:v>1851206.9893364627</x:v>
      </x:c>
      <x:c r="AA49" s="54" t="n">
        <x:v>1135027.348894327</x:v>
      </x:c>
      <x:c r="AB49" s="55" t="n">
        <x:v>1.06</x:v>
      </x:c>
      <x:c r="AC49" s="55" t="n">
        <x:v>1.2</x:v>
      </x:c>
      <x:c r="AD49" s="55" t="n">
        <x:v>0.39</x:v>
      </x:c>
      <x:c r="AE49" s="55" t="n">
        <x:v>0.91</x:v>
      </x:c>
      <x:c r="AF49" s="55" t="n">
        <x:v>0.08</x:v>
      </x:c>
      <x:c r="AG49" s="53" t="str">
        <x:v>NBS China Statistical Yearbook 2025, Table 12-15</x:v>
      </x:c>
      <x:c r="AH49" s="53" t="str">
        <x:v>calibrated reconstruction; not historical author input</x:v>
      </x:c>
    </x:row>
    <x:row r="50" ht="32" hidden="0" customHeight="1">
      <x:c r="A50" s="48" t="str">
        <x:v>x_r07_s1_m1</x:v>
      </x:c>
      <x:c r="B50" s="48" t="str">
        <x:v>r07</x:v>
      </x:c>
      <x:c r="C50" s="48" t="str">
        <x:v>CN-JL</x:v>
      </x:c>
      <x:c r="D50" s="48" t="str">
        <x:v>Jilin</x:v>
      </x:c>
      <x:c r="E50" s="48" t="str">
        <x:v>吉林</x:v>
      </x:c>
      <x:c r="F50" s="48" t="n">
        <x:v>1</x:v>
      </x:c>
      <x:c r="G50" s="48" t="str">
        <x:v>marine_capture</x:v>
      </x:c>
      <x:c r="H50" s="48" t="str">
        <x:v>海洋捕捞</x:v>
      </x:c>
      <x:c r="I50" s="48" t="n">
        <x:v>1</x:v>
      </x:c>
      <x:c r="J50" s="48" t="str">
        <x:v>fresh_sales</x:v>
      </x:c>
      <x:c r="K50" s="48" t="str">
        <x:v>鲜销</x:v>
      </x:c>
      <x:c r="L50" s="54" t="n">
        <x:v>0</x:v>
      </x:c>
      <x:c r="M50" s="54" t="n">
        <x:v>0</x:v>
      </x:c>
      <x:c r="N50" s="55" t="n">
        <x:v>0.62</x:v>
      </x:c>
      <x:c r="O50" s="54" t="n">
        <x:v>0</x:v>
      </x:c>
      <x:c r="P50" s="54" t="n">
        <x:v>0</x:v>
      </x:c>
      <x:c r="Q50" s="55" t="n">
        <x:v>0.003615358477743799</x:v>
      </x:c>
      <x:c r="R50" s="55" t="n">
        <x:v>0.2552416217657208</x:v>
      </x:c>
      <x:c r="S50" s="55" t="n">
        <x:v>0.7580481192815994</x:v>
      </x:c>
      <x:c r="T50" s="55" t="n">
        <x:v>1.3191774698256593</x:v>
      </x:c>
      <x:c r="U50" s="55" t="n">
        <x:v>0.6072491935897149</x:v>
      </x:c>
      <x:c r="V50" s="55" t="n">
        <x:v>0.7874627822435998</x:v>
      </x:c>
      <x:c r="W50" s="55" t="n">
        <x:v>0.5340449651791621</x:v>
      </x:c>
      <x:c r="X50" s="55" t="n">
        <x:v>0.9897865104462513</x:v>
      </x:c>
      <x:c r="Y50" s="54" t="n">
        <x:v>80342.8853066398</x:v>
      </x:c>
      <x:c r="Z50" s="54" t="n">
        <x:v>76536.74573681912</x:v>
      </x:c>
      <x:c r="AA50" s="54" t="n">
        <x:v>35599.33465643813</x:v>
      </x:c>
      <x:c r="AB50" s="55" t="n">
        <x:v>0.65</x:v>
      </x:c>
      <x:c r="AC50" s="55" t="n">
        <x:v>0.62</x:v>
      </x:c>
      <x:c r="AD50" s="55" t="n">
        <x:v>0.29</x:v>
      </x:c>
      <x:c r="AE50" s="55" t="n">
        <x:v>0.28</x:v>
      </x:c>
      <x:c r="AF50" s="55" t="n">
        <x:v>1</x:v>
      </x:c>
      <x:c r="AG50" s="53" t="str">
        <x:v>NBS China Statistical Yearbook 2025, Table 12-15</x:v>
      </x:c>
      <x:c r="AH50" s="53" t="str">
        <x:v>calibrated reconstruction; not historical author input</x:v>
      </x:c>
    </x:row>
    <x:row r="51" ht="32" hidden="0" customHeight="1">
      <x:c r="A51" s="48" t="str">
        <x:v>x_r07_s1_m2</x:v>
      </x:c>
      <x:c r="B51" s="48" t="str">
        <x:v>r07</x:v>
      </x:c>
      <x:c r="C51" s="48" t="str">
        <x:v>CN-JL</x:v>
      </x:c>
      <x:c r="D51" s="48" t="str">
        <x:v>Jilin</x:v>
      </x:c>
      <x:c r="E51" s="48" t="str">
        <x:v>吉林</x:v>
      </x:c>
      <x:c r="F51" s="48" t="n">
        <x:v>1</x:v>
      </x:c>
      <x:c r="G51" s="48" t="str">
        <x:v>marine_capture</x:v>
      </x:c>
      <x:c r="H51" s="48" t="str">
        <x:v>海洋捕捞</x:v>
      </x:c>
      <x:c r="I51" s="48" t="n">
        <x:v>2</x:v>
      </x:c>
      <x:c r="J51" s="48" t="str">
        <x:v>deep_processing</x:v>
      </x:c>
      <x:c r="K51" s="48" t="str">
        <x:v>深加工</x:v>
      </x:c>
      <x:c r="L51" s="54" t="n">
        <x:v>0</x:v>
      </x:c>
      <x:c r="M51" s="54" t="n">
        <x:v>0</x:v>
      </x:c>
      <x:c r="N51" s="55" t="n">
        <x:v>0.38</x:v>
      </x:c>
      <x:c r="O51" s="54" t="n">
        <x:v>0</x:v>
      </x:c>
      <x:c r="P51" s="54" t="n">
        <x:v>0</x:v>
      </x:c>
      <x:c r="Q51" s="55" t="n">
        <x:v>0.003615358477743799</x:v>
      </x:c>
      <x:c r="R51" s="55" t="n">
        <x:v>0.2552416217657208</x:v>
      </x:c>
      <x:c r="S51" s="55" t="n">
        <x:v>0.7580481192815994</x:v>
      </x:c>
      <x:c r="T51" s="55" t="n">
        <x:v>1.3191774698256593</x:v>
      </x:c>
      <x:c r="U51" s="55" t="n">
        <x:v>0.6072491935897149</x:v>
      </x:c>
      <x:c r="V51" s="55" t="n">
        <x:v>0.7874627822435998</x:v>
      </x:c>
      <x:c r="W51" s="55" t="n">
        <x:v>0.5340449651791621</x:v>
      </x:c>
      <x:c r="X51" s="55" t="n">
        <x:v>0.9897865104462513</x:v>
      </x:c>
      <x:c r="Y51" s="54" t="n">
        <x:v>80342.8853066398</x:v>
      </x:c>
      <x:c r="Z51" s="54" t="n">
        <x:v>76536.74573681912</x:v>
      </x:c>
      <x:c r="AA51" s="54" t="n">
        <x:v>35599.33465643813</x:v>
      </x:c>
      <x:c r="AB51" s="55" t="n">
        <x:v>0.82</x:v>
      </x:c>
      <x:c r="AC51" s="55" t="n">
        <x:v>0.95</x:v>
      </x:c>
      <x:c r="AD51" s="55" t="n">
        <x:v>0.36</x:v>
      </x:c>
      <x:c r="AE51" s="55" t="n">
        <x:v>0.31</x:v>
      </x:c>
      <x:c r="AF51" s="55" t="n">
        <x:v>1</x:v>
      </x:c>
      <x:c r="AG51" s="53" t="str">
        <x:v>NBS China Statistical Yearbook 2025, Table 12-15</x:v>
      </x:c>
      <x:c r="AH51" s="53" t="str">
        <x:v>calibrated reconstruction; not historical author input</x:v>
      </x:c>
    </x:row>
    <x:row r="52" ht="32" hidden="0" customHeight="1">
      <x:c r="A52" s="48" t="str">
        <x:v>x_r07_s2_m1</x:v>
      </x:c>
      <x:c r="B52" s="48" t="str">
        <x:v>r07</x:v>
      </x:c>
      <x:c r="C52" s="48" t="str">
        <x:v>CN-JL</x:v>
      </x:c>
      <x:c r="D52" s="48" t="str">
        <x:v>Jilin</x:v>
      </x:c>
      <x:c r="E52" s="48" t="str">
        <x:v>吉林</x:v>
      </x:c>
      <x:c r="F52" s="48" t="n">
        <x:v>2</x:v>
      </x:c>
      <x:c r="G52" s="48" t="str">
        <x:v>freshwater_capture</x:v>
      </x:c>
      <x:c r="H52" s="48" t="str">
        <x:v>淡水捕捞</x:v>
      </x:c>
      <x:c r="I52" s="48" t="n">
        <x:v>1</x:v>
      </x:c>
      <x:c r="J52" s="48" t="str">
        <x:v>fresh_sales</x:v>
      </x:c>
      <x:c r="K52" s="48" t="str">
        <x:v>鲜销</x:v>
      </x:c>
      <x:c r="L52" s="54" t="n">
        <x:v>18000</x:v>
      </x:c>
      <x:c r="M52" s="54" t="n">
        <x:v>17409.594128440367</x:v>
      </x:c>
      <x:c r="N52" s="55" t="n">
        <x:v>0.67</x:v>
      </x:c>
      <x:c r="O52" s="54" t="n">
        <x:v>11664.428066055047</x:v>
      </x:c>
      <x:c r="P52" s="54" t="n">
        <x:v>13997.313679266055</x:v>
      </x:c>
      <x:c r="Q52" s="55" t="n">
        <x:v>0.003615358477743799</x:v>
      </x:c>
      <x:c r="R52" s="55" t="n">
        <x:v>0.2552416217657208</x:v>
      </x:c>
      <x:c r="S52" s="55" t="n">
        <x:v>0.7580481192815994</x:v>
      </x:c>
      <x:c r="T52" s="55" t="n">
        <x:v>1.3191774698256593</x:v>
      </x:c>
      <x:c r="U52" s="55" t="n">
        <x:v>0.6072491935897149</x:v>
      </x:c>
      <x:c r="V52" s="55" t="n">
        <x:v>0.7874627822435998</x:v>
      </x:c>
      <x:c r="W52" s="55" t="n">
        <x:v>0.5340449651791621</x:v>
      </x:c>
      <x:c r="X52" s="55" t="n">
        <x:v>0.9897865104462513</x:v>
      </x:c>
      <x:c r="Y52" s="54" t="n">
        <x:v>80342.8853066398</x:v>
      </x:c>
      <x:c r="Z52" s="54" t="n">
        <x:v>76536.74573681912</x:v>
      </x:c>
      <x:c r="AA52" s="54" t="n">
        <x:v>35599.33465643813</x:v>
      </x:c>
      <x:c r="AB52" s="55" t="n">
        <x:v>0.7</x:v>
      </x:c>
      <x:c r="AC52" s="55" t="n">
        <x:v>0.67</x:v>
      </x:c>
      <x:c r="AD52" s="55" t="n">
        <x:v>0.26</x:v>
      </x:c>
      <x:c r="AE52" s="55" t="n">
        <x:v>0.42</x:v>
      </x:c>
      <x:c r="AF52" s="55" t="n">
        <x:v>0.7</x:v>
      </x:c>
      <x:c r="AG52" s="53" t="str">
        <x:v>NBS China Statistical Yearbook 2025, Table 12-15</x:v>
      </x:c>
      <x:c r="AH52" s="53" t="str">
        <x:v>calibrated reconstruction; not historical author input</x:v>
      </x:c>
    </x:row>
    <x:row r="53" ht="32" hidden="0" customHeight="1">
      <x:c r="A53" s="48" t="str">
        <x:v>x_r07_s2_m2</x:v>
      </x:c>
      <x:c r="B53" s="48" t="str">
        <x:v>r07</x:v>
      </x:c>
      <x:c r="C53" s="48" t="str">
        <x:v>CN-JL</x:v>
      </x:c>
      <x:c r="D53" s="48" t="str">
        <x:v>Jilin</x:v>
      </x:c>
      <x:c r="E53" s="48" t="str">
        <x:v>吉林</x:v>
      </x:c>
      <x:c r="F53" s="48" t="n">
        <x:v>2</x:v>
      </x:c>
      <x:c r="G53" s="48" t="str">
        <x:v>freshwater_capture</x:v>
      </x:c>
      <x:c r="H53" s="48" t="str">
        <x:v>淡水捕捞</x:v>
      </x:c>
      <x:c r="I53" s="48" t="n">
        <x:v>2</x:v>
      </x:c>
      <x:c r="J53" s="48" t="str">
        <x:v>deep_processing</x:v>
      </x:c>
      <x:c r="K53" s="48" t="str">
        <x:v>深加工</x:v>
      </x:c>
      <x:c r="L53" s="54" t="n">
        <x:v>18000</x:v>
      </x:c>
      <x:c r="M53" s="54" t="n">
        <x:v>17409.594128440367</x:v>
      </x:c>
      <x:c r="N53" s="55" t="n">
        <x:v>0.33</x:v>
      </x:c>
      <x:c r="O53" s="54" t="n">
        <x:v>5745.166062385321</x:v>
      </x:c>
      <x:c r="P53" s="54" t="n">
        <x:v>6894.199274862385</x:v>
      </x:c>
      <x:c r="Q53" s="55" t="n">
        <x:v>0.003615358477743799</x:v>
      </x:c>
      <x:c r="R53" s="55" t="n">
        <x:v>0.2552416217657208</x:v>
      </x:c>
      <x:c r="S53" s="55" t="n">
        <x:v>0.7580481192815994</x:v>
      </x:c>
      <x:c r="T53" s="55" t="n">
        <x:v>1.3191774698256593</x:v>
      </x:c>
      <x:c r="U53" s="55" t="n">
        <x:v>0.6072491935897149</x:v>
      </x:c>
      <x:c r="V53" s="55" t="n">
        <x:v>0.7874627822435998</x:v>
      </x:c>
      <x:c r="W53" s="55" t="n">
        <x:v>0.5340449651791621</x:v>
      </x:c>
      <x:c r="X53" s="55" t="n">
        <x:v>0.9897865104462513</x:v>
      </x:c>
      <x:c r="Y53" s="54" t="n">
        <x:v>80342.8853066398</x:v>
      </x:c>
      <x:c r="Z53" s="54" t="n">
        <x:v>76536.74573681912</x:v>
      </x:c>
      <x:c r="AA53" s="54" t="n">
        <x:v>35599.33465643813</x:v>
      </x:c>
      <x:c r="AB53" s="55" t="n">
        <x:v>0.86</x:v>
      </x:c>
      <x:c r="AC53" s="55" t="n">
        <x:v>0.99</x:v>
      </x:c>
      <x:c r="AD53" s="55" t="n">
        <x:v>0.34</x:v>
      </x:c>
      <x:c r="AE53" s="55" t="n">
        <x:v>0.45</x:v>
      </x:c>
      <x:c r="AF53" s="55" t="n">
        <x:v>0.7</x:v>
      </x:c>
      <x:c r="AG53" s="53" t="str">
        <x:v>NBS China Statistical Yearbook 2025, Table 12-15</x:v>
      </x:c>
      <x:c r="AH53" s="53" t="str">
        <x:v>calibrated reconstruction; not historical author input</x:v>
      </x:c>
    </x:row>
    <x:row r="54" ht="32" hidden="0" customHeight="1">
      <x:c r="A54" s="48" t="str">
        <x:v>x_r07_s3_m1</x:v>
      </x:c>
      <x:c r="B54" s="48" t="str">
        <x:v>r07</x:v>
      </x:c>
      <x:c r="C54" s="48" t="str">
        <x:v>CN-JL</x:v>
      </x:c>
      <x:c r="D54" s="48" t="str">
        <x:v>Jilin</x:v>
      </x:c>
      <x:c r="E54" s="48" t="str">
        <x:v>吉林</x:v>
      </x:c>
      <x:c r="F54" s="48" t="n">
        <x:v>3</x:v>
      </x:c>
      <x:c r="G54" s="48" t="str">
        <x:v>marine_aquaculture</x:v>
      </x:c>
      <x:c r="H54" s="48" t="str">
        <x:v>海水养殖</x:v>
      </x:c>
      <x:c r="I54" s="48" t="n">
        <x:v>1</x:v>
      </x:c>
      <x:c r="J54" s="48" t="str">
        <x:v>fresh_sales</x:v>
      </x:c>
      <x:c r="K54" s="48" t="str">
        <x:v>鲜销</x:v>
      </x:c>
      <x:c r="L54" s="54" t="n">
        <x:v>0</x:v>
      </x:c>
      <x:c r="M54" s="54" t="n">
        <x:v>0</x:v>
      </x:c>
      <x:c r="N54" s="55" t="n">
        <x:v>0.74</x:v>
      </x:c>
      <x:c r="O54" s="54" t="n">
        <x:v>0</x:v>
      </x:c>
      <x:c r="P54" s="54" t="n">
        <x:v>0</x:v>
      </x:c>
      <x:c r="Q54" s="55" t="n">
        <x:v>0.003615358477743799</x:v>
      </x:c>
      <x:c r="R54" s="55" t="n">
        <x:v>0.2552416217657208</x:v>
      </x:c>
      <x:c r="S54" s="55" t="n">
        <x:v>0.7580481192815994</x:v>
      </x:c>
      <x:c r="T54" s="55" t="n">
        <x:v>1.3191774698256593</x:v>
      </x:c>
      <x:c r="U54" s="55" t="n">
        <x:v>0.6072491935897149</x:v>
      </x:c>
      <x:c r="V54" s="55" t="n">
        <x:v>0.7874627822435998</x:v>
      </x:c>
      <x:c r="W54" s="55" t="n">
        <x:v>0.5340449651791621</x:v>
      </x:c>
      <x:c r="X54" s="55" t="n">
        <x:v>0.9897865104462513</x:v>
      </x:c>
      <x:c r="Y54" s="54" t="n">
        <x:v>80342.8853066398</x:v>
      </x:c>
      <x:c r="Z54" s="54" t="n">
        <x:v>76536.74573681912</x:v>
      </x:c>
      <x:c r="AA54" s="54" t="n">
        <x:v>35599.33465643813</x:v>
      </x:c>
      <x:c r="AB54" s="55" t="n">
        <x:v>0.84</x:v>
      </x:c>
      <x:c r="AC54" s="55" t="n">
        <x:v>0.8</x:v>
      </x:c>
      <x:c r="AD54" s="55" t="n">
        <x:v>0.33</x:v>
      </x:c>
      <x:c r="AE54" s="55" t="n">
        <x:v>0.78</x:v>
      </x:c>
      <x:c r="AF54" s="55" t="n">
        <x:v>0.11</x:v>
      </x:c>
      <x:c r="AG54" s="53" t="str">
        <x:v>NBS China Statistical Yearbook 2025, Table 12-15</x:v>
      </x:c>
      <x:c r="AH54" s="53" t="str">
        <x:v>calibrated reconstruction; not historical author input</x:v>
      </x:c>
    </x:row>
    <x:row r="55" ht="32" hidden="0" customHeight="1">
      <x:c r="A55" s="48" t="str">
        <x:v>x_r07_s3_m2</x:v>
      </x:c>
      <x:c r="B55" s="48" t="str">
        <x:v>r07</x:v>
      </x:c>
      <x:c r="C55" s="48" t="str">
        <x:v>CN-JL</x:v>
      </x:c>
      <x:c r="D55" s="48" t="str">
        <x:v>Jilin</x:v>
      </x:c>
      <x:c r="E55" s="48" t="str">
        <x:v>吉林</x:v>
      </x:c>
      <x:c r="F55" s="48" t="n">
        <x:v>3</x:v>
      </x:c>
      <x:c r="G55" s="48" t="str">
        <x:v>marine_aquaculture</x:v>
      </x:c>
      <x:c r="H55" s="48" t="str">
        <x:v>海水养殖</x:v>
      </x:c>
      <x:c r="I55" s="48" t="n">
        <x:v>2</x:v>
      </x:c>
      <x:c r="J55" s="48" t="str">
        <x:v>deep_processing</x:v>
      </x:c>
      <x:c r="K55" s="48" t="str">
        <x:v>深加工</x:v>
      </x:c>
      <x:c r="L55" s="54" t="n">
        <x:v>0</x:v>
      </x:c>
      <x:c r="M55" s="54" t="n">
        <x:v>0</x:v>
      </x:c>
      <x:c r="N55" s="55" t="n">
        <x:v>0.26</x:v>
      </x:c>
      <x:c r="O55" s="54" t="n">
        <x:v>0</x:v>
      </x:c>
      <x:c r="P55" s="54" t="n">
        <x:v>0</x:v>
      </x:c>
      <x:c r="Q55" s="55" t="n">
        <x:v>0.003615358477743799</x:v>
      </x:c>
      <x:c r="R55" s="55" t="n">
        <x:v>0.2552416217657208</x:v>
      </x:c>
      <x:c r="S55" s="55" t="n">
        <x:v>0.7580481192815994</x:v>
      </x:c>
      <x:c r="T55" s="55" t="n">
        <x:v>1.3191774698256593</x:v>
      </x:c>
      <x:c r="U55" s="55" t="n">
        <x:v>0.6072491935897149</x:v>
      </x:c>
      <x:c r="V55" s="55" t="n">
        <x:v>0.7874627822435998</x:v>
      </x:c>
      <x:c r="W55" s="55" t="n">
        <x:v>0.5340449651791621</x:v>
      </x:c>
      <x:c r="X55" s="55" t="n">
        <x:v>0.9897865104462513</x:v>
      </x:c>
      <x:c r="Y55" s="54" t="n">
        <x:v>80342.8853066398</x:v>
      </x:c>
      <x:c r="Z55" s="54" t="n">
        <x:v>76536.74573681912</x:v>
      </x:c>
      <x:c r="AA55" s="54" t="n">
        <x:v>35599.33465643813</x:v>
      </x:c>
      <x:c r="AB55" s="55" t="n">
        <x:v>1.02</x:v>
      </x:c>
      <x:c r="AC55" s="55" t="n">
        <x:v>1.16</x:v>
      </x:c>
      <x:c r="AD55" s="55" t="n">
        <x:v>0.41</x:v>
      </x:c>
      <x:c r="AE55" s="55" t="n">
        <x:v>0.81</x:v>
      </x:c>
      <x:c r="AF55" s="55" t="n">
        <x:v>0.11</x:v>
      </x:c>
      <x:c r="AG55" s="53" t="str">
        <x:v>NBS China Statistical Yearbook 2025, Table 12-15</x:v>
      </x:c>
      <x:c r="AH55" s="53" t="str">
        <x:v>calibrated reconstruction; not historical author input</x:v>
      </x:c>
    </x:row>
    <x:row r="56" ht="32" hidden="0" customHeight="1">
      <x:c r="A56" s="48" t="str">
        <x:v>x_r07_s4_m1</x:v>
      </x:c>
      <x:c r="B56" s="48" t="str">
        <x:v>r07</x:v>
      </x:c>
      <x:c r="C56" s="48" t="str">
        <x:v>CN-JL</x:v>
      </x:c>
      <x:c r="D56" s="48" t="str">
        <x:v>Jilin</x:v>
      </x:c>
      <x:c r="E56" s="48" t="str">
        <x:v>吉林</x:v>
      </x:c>
      <x:c r="F56" s="48" t="n">
        <x:v>4</x:v>
      </x:c>
      <x:c r="G56" s="48" t="str">
        <x:v>freshwater_aquaculture</x:v>
      </x:c>
      <x:c r="H56" s="48" t="str">
        <x:v>淡水养殖</x:v>
      </x:c>
      <x:c r="I56" s="48" t="n">
        <x:v>1</x:v>
      </x:c>
      <x:c r="J56" s="48" t="str">
        <x:v>fresh_sales</x:v>
      </x:c>
      <x:c r="K56" s="48" t="str">
        <x:v>鲜销</x:v>
      </x:c>
      <x:c r="L56" s="54" t="n">
        <x:v>248000</x:v>
      </x:c>
      <x:c r="M56" s="54" t="n">
        <x:v>239865.51910295617</x:v>
      </x:c>
      <x:c r="N56" s="55" t="n">
        <x:v>0.78</x:v>
      </x:c>
      <x:c r="O56" s="54" t="n">
        <x:v>187095.10490030583</x:v>
      </x:c>
      <x:c r="P56" s="54" t="n">
        <x:v>224514.12588036698</x:v>
      </x:c>
      <x:c r="Q56" s="55" t="n">
        <x:v>0.003615358477743799</x:v>
      </x:c>
      <x:c r="R56" s="55" t="n">
        <x:v>0.2552416217657208</x:v>
      </x:c>
      <x:c r="S56" s="55" t="n">
        <x:v>0.7580481192815994</x:v>
      </x:c>
      <x:c r="T56" s="55" t="n">
        <x:v>1.3191774698256593</x:v>
      </x:c>
      <x:c r="U56" s="55" t="n">
        <x:v>0.6072491935897149</x:v>
      </x:c>
      <x:c r="V56" s="55" t="n">
        <x:v>0.7874627822435998</x:v>
      </x:c>
      <x:c r="W56" s="55" t="n">
        <x:v>0.5340449651791621</x:v>
      </x:c>
      <x:c r="X56" s="55" t="n">
        <x:v>0.9897865104462513</x:v>
      </x:c>
      <x:c r="Y56" s="54" t="n">
        <x:v>80342.8853066398</x:v>
      </x:c>
      <x:c r="Z56" s="54" t="n">
        <x:v>76536.74573681912</x:v>
      </x:c>
      <x:c r="AA56" s="54" t="n">
        <x:v>35599.33465643813</x:v>
      </x:c>
      <x:c r="AB56" s="55" t="n">
        <x:v>0.88</x:v>
      </x:c>
      <x:c r="AC56" s="55" t="n">
        <x:v>0.84</x:v>
      </x:c>
      <x:c r="AD56" s="55" t="n">
        <x:v>0.31</x:v>
      </x:c>
      <x:c r="AE56" s="55" t="n">
        <x:v>0.88</x:v>
      </x:c>
      <x:c r="AF56" s="55" t="n">
        <x:v>0.08</x:v>
      </x:c>
      <x:c r="AG56" s="53" t="str">
        <x:v>NBS China Statistical Yearbook 2025, Table 12-15</x:v>
      </x:c>
      <x:c r="AH56" s="53" t="str">
        <x:v>calibrated reconstruction; not historical author input</x:v>
      </x:c>
    </x:row>
    <x:row r="57" ht="32" hidden="0" customHeight="1">
      <x:c r="A57" s="48" t="str">
        <x:v>x_r07_s4_m2</x:v>
      </x:c>
      <x:c r="B57" s="48" t="str">
        <x:v>r07</x:v>
      </x:c>
      <x:c r="C57" s="48" t="str">
        <x:v>CN-JL</x:v>
      </x:c>
      <x:c r="D57" s="48" t="str">
        <x:v>Jilin</x:v>
      </x:c>
      <x:c r="E57" s="48" t="str">
        <x:v>吉林</x:v>
      </x:c>
      <x:c r="F57" s="48" t="n">
        <x:v>4</x:v>
      </x:c>
      <x:c r="G57" s="48" t="str">
        <x:v>freshwater_aquaculture</x:v>
      </x:c>
      <x:c r="H57" s="48" t="str">
        <x:v>淡水养殖</x:v>
      </x:c>
      <x:c r="I57" s="48" t="n">
        <x:v>2</x:v>
      </x:c>
      <x:c r="J57" s="48" t="str">
        <x:v>deep_processing</x:v>
      </x:c>
      <x:c r="K57" s="48" t="str">
        <x:v>深加工</x:v>
      </x:c>
      <x:c r="L57" s="54" t="n">
        <x:v>248000</x:v>
      </x:c>
      <x:c r="M57" s="54" t="n">
        <x:v>239865.51910295617</x:v>
      </x:c>
      <x:c r="N57" s="55" t="n">
        <x:v>0.22</x:v>
      </x:c>
      <x:c r="O57" s="54" t="n">
        <x:v>52770.414202650354</x:v>
      </x:c>
      <x:c r="P57" s="54" t="n">
        <x:v>63324.497043180425</x:v>
      </x:c>
      <x:c r="Q57" s="55" t="n">
        <x:v>0.003615358477743799</x:v>
      </x:c>
      <x:c r="R57" s="55" t="n">
        <x:v>0.2552416217657208</x:v>
      </x:c>
      <x:c r="S57" s="55" t="n">
        <x:v>0.7580481192815994</x:v>
      </x:c>
      <x:c r="T57" s="55" t="n">
        <x:v>1.3191774698256593</x:v>
      </x:c>
      <x:c r="U57" s="55" t="n">
        <x:v>0.6072491935897149</x:v>
      </x:c>
      <x:c r="V57" s="55" t="n">
        <x:v>0.7874627822435998</x:v>
      </x:c>
      <x:c r="W57" s="55" t="n">
        <x:v>0.5340449651791621</x:v>
      </x:c>
      <x:c r="X57" s="55" t="n">
        <x:v>0.9897865104462513</x:v>
      </x:c>
      <x:c r="Y57" s="54" t="n">
        <x:v>80342.8853066398</x:v>
      </x:c>
      <x:c r="Z57" s="54" t="n">
        <x:v>76536.74573681912</x:v>
      </x:c>
      <x:c r="AA57" s="54" t="n">
        <x:v>35599.33465643813</x:v>
      </x:c>
      <x:c r="AB57" s="55" t="n">
        <x:v>1.06</x:v>
      </x:c>
      <x:c r="AC57" s="55" t="n">
        <x:v>1.2</x:v>
      </x:c>
      <x:c r="AD57" s="55" t="n">
        <x:v>0.39</x:v>
      </x:c>
      <x:c r="AE57" s="55" t="n">
        <x:v>0.91</x:v>
      </x:c>
      <x:c r="AF57" s="55" t="n">
        <x:v>0.08</x:v>
      </x:c>
      <x:c r="AG57" s="53" t="str">
        <x:v>NBS China Statistical Yearbook 2025, Table 12-15</x:v>
      </x:c>
      <x:c r="AH57" s="53" t="str">
        <x:v>calibrated reconstruction; not historical author input</x:v>
      </x:c>
    </x:row>
    <x:row r="58" ht="32" hidden="0" customHeight="1">
      <x:c r="A58" s="48" t="str">
        <x:v>x_r08_s1_m1</x:v>
      </x:c>
      <x:c r="B58" s="48" t="str">
        <x:v>r08</x:v>
      </x:c>
      <x:c r="C58" s="48" t="str">
        <x:v>CN-HL</x:v>
      </x:c>
      <x:c r="D58" s="48" t="str">
        <x:v>Heilongjiang</x:v>
      </x:c>
      <x:c r="E58" s="48" t="str">
        <x:v>黑龙江</x:v>
      </x:c>
      <x:c r="F58" s="48" t="n">
        <x:v>1</x:v>
      </x:c>
      <x:c r="G58" s="48" t="str">
        <x:v>marine_capture</x:v>
      </x:c>
      <x:c r="H58" s="48" t="str">
        <x:v>海洋捕捞</x:v>
      </x:c>
      <x:c r="I58" s="48" t="n">
        <x:v>1</x:v>
      </x:c>
      <x:c r="J58" s="48" t="str">
        <x:v>fresh_sales</x:v>
      </x:c>
      <x:c r="K58" s="48" t="str">
        <x:v>鲜销</x:v>
      </x:c>
      <x:c r="L58" s="54" t="n">
        <x:v>0</x:v>
      </x:c>
      <x:c r="M58" s="54" t="n">
        <x:v>0</x:v>
      </x:c>
      <x:c r="N58" s="55" t="n">
        <x:v>0.62</x:v>
      </x:c>
      <x:c r="O58" s="54" t="n">
        <x:v>0</x:v>
      </x:c>
      <x:c r="P58" s="54" t="n">
        <x:v>0</x:v>
      </x:c>
      <x:c r="Q58" s="55" t="n">
        <x:v>0.011063540604825008</x:v>
      </x:c>
      <x:c r="R58" s="55" t="n">
        <x:v>0.26987779808772566</x:v>
      </x:c>
      <x:c r="S58" s="55" t="n">
        <x:v>0.7568620806506269</x:v>
      </x:c>
      <x:c r="T58" s="55" t="n">
        <x:v>1.3212446832325946</x:v>
      </x:c>
      <x:c r="U58" s="55" t="n">
        <x:v>0.5635300997686218</x:v>
      </x:c>
      <x:c r="V58" s="55" t="n">
        <x:v>0.8027644650809824</x:v>
      </x:c>
      <x:c r="W58" s="55" t="n">
        <x:v>0.5335346854396831</x:v>
      </x:c>
      <x:c r="X58" s="55" t="n">
        <x:v>0.989939594368095</x:v>
      </x:c>
      <x:c r="Y58" s="54" t="n">
        <x:v>160936.8401235602</x:v>
      </x:c>
      <x:c r="Z58" s="54" t="n">
        <x:v>234125.56766718256</x:v>
      </x:c>
      <x:c r="AA58" s="54" t="n">
        <x:v>104295.81431295132</x:v>
      </x:c>
      <x:c r="AB58" s="55" t="n">
        <x:v>0.65</x:v>
      </x:c>
      <x:c r="AC58" s="55" t="n">
        <x:v>0.62</x:v>
      </x:c>
      <x:c r="AD58" s="55" t="n">
        <x:v>0.29</x:v>
      </x:c>
      <x:c r="AE58" s="55" t="n">
        <x:v>0.28</x:v>
      </x:c>
      <x:c r="AF58" s="55" t="n">
        <x:v>1</x:v>
      </x:c>
      <x:c r="AG58" s="53" t="str">
        <x:v>NBS China Statistical Yearbook 2025, Table 12-15</x:v>
      </x:c>
      <x:c r="AH58" s="53" t="str">
        <x:v>calibrated reconstruction; not historical author input</x:v>
      </x:c>
    </x:row>
    <x:row r="59" ht="32" hidden="0" customHeight="1">
      <x:c r="A59" s="48" t="str">
        <x:v>x_r08_s1_m2</x:v>
      </x:c>
      <x:c r="B59" s="48" t="str">
        <x:v>r08</x:v>
      </x:c>
      <x:c r="C59" s="48" t="str">
        <x:v>CN-HL</x:v>
      </x:c>
      <x:c r="D59" s="48" t="str">
        <x:v>Heilongjiang</x:v>
      </x:c>
      <x:c r="E59" s="48" t="str">
        <x:v>黑龙江</x:v>
      </x:c>
      <x:c r="F59" s="48" t="n">
        <x:v>1</x:v>
      </x:c>
      <x:c r="G59" s="48" t="str">
        <x:v>marine_capture</x:v>
      </x:c>
      <x:c r="H59" s="48" t="str">
        <x:v>海洋捕捞</x:v>
      </x:c>
      <x:c r="I59" s="48" t="n">
        <x:v>2</x:v>
      </x:c>
      <x:c r="J59" s="48" t="str">
        <x:v>deep_processing</x:v>
      </x:c>
      <x:c r="K59" s="48" t="str">
        <x:v>深加工</x:v>
      </x:c>
      <x:c r="L59" s="54" t="n">
        <x:v>0</x:v>
      </x:c>
      <x:c r="M59" s="54" t="n">
        <x:v>0</x:v>
      </x:c>
      <x:c r="N59" s="55" t="n">
        <x:v>0.38</x:v>
      </x:c>
      <x:c r="O59" s="54" t="n">
        <x:v>0</x:v>
      </x:c>
      <x:c r="P59" s="54" t="n">
        <x:v>0</x:v>
      </x:c>
      <x:c r="Q59" s="55" t="n">
        <x:v>0.011063540604825008</x:v>
      </x:c>
      <x:c r="R59" s="55" t="n">
        <x:v>0.26987779808772566</x:v>
      </x:c>
      <x:c r="S59" s="55" t="n">
        <x:v>0.7568620806506269</x:v>
      </x:c>
      <x:c r="T59" s="55" t="n">
        <x:v>1.3212446832325946</x:v>
      </x:c>
      <x:c r="U59" s="55" t="n">
        <x:v>0.5635300997686218</x:v>
      </x:c>
      <x:c r="V59" s="55" t="n">
        <x:v>0.8027644650809824</x:v>
      </x:c>
      <x:c r="W59" s="55" t="n">
        <x:v>0.5335346854396831</x:v>
      </x:c>
      <x:c r="X59" s="55" t="n">
        <x:v>0.989939594368095</x:v>
      </x:c>
      <x:c r="Y59" s="54" t="n">
        <x:v>160936.8401235602</x:v>
      </x:c>
      <x:c r="Z59" s="54" t="n">
        <x:v>234125.56766718256</x:v>
      </x:c>
      <x:c r="AA59" s="54" t="n">
        <x:v>104295.81431295132</x:v>
      </x:c>
      <x:c r="AB59" s="55" t="n">
        <x:v>0.82</x:v>
      </x:c>
      <x:c r="AC59" s="55" t="n">
        <x:v>0.95</x:v>
      </x:c>
      <x:c r="AD59" s="55" t="n">
        <x:v>0.36</x:v>
      </x:c>
      <x:c r="AE59" s="55" t="n">
        <x:v>0.31</x:v>
      </x:c>
      <x:c r="AF59" s="55" t="n">
        <x:v>1</x:v>
      </x:c>
      <x:c r="AG59" s="53" t="str">
        <x:v>NBS China Statistical Yearbook 2025, Table 12-15</x:v>
      </x:c>
      <x:c r="AH59" s="53" t="str">
        <x:v>calibrated reconstruction; not historical author input</x:v>
      </x:c>
    </x:row>
    <x:row r="60" ht="32" hidden="0" customHeight="1">
      <x:c r="A60" s="48" t="str">
        <x:v>x_r08_s2_m1</x:v>
      </x:c>
      <x:c r="B60" s="48" t="str">
        <x:v>r08</x:v>
      </x:c>
      <x:c r="C60" s="48" t="str">
        <x:v>CN-HL</x:v>
      </x:c>
      <x:c r="D60" s="48" t="str">
        <x:v>Heilongjiang</x:v>
      </x:c>
      <x:c r="E60" s="48" t="str">
        <x:v>黑龙江</x:v>
      </x:c>
      <x:c r="F60" s="48" t="n">
        <x:v>2</x:v>
      </x:c>
      <x:c r="G60" s="48" t="str">
        <x:v>freshwater_capture</x:v>
      </x:c>
      <x:c r="H60" s="48" t="str">
        <x:v>淡水捕捞</x:v>
      </x:c>
      <x:c r="I60" s="48" t="n">
        <x:v>1</x:v>
      </x:c>
      <x:c r="J60" s="48" t="str">
        <x:v>fresh_sales</x:v>
      </x:c>
      <x:c r="K60" s="48" t="str">
        <x:v>鲜销</x:v>
      </x:c>
      <x:c r="L60" s="54" t="n">
        <x:v>51000</x:v>
      </x:c>
      <x:c r="M60" s="54" t="n">
        <x:v>49327.18336391437</x:v>
      </x:c>
      <x:c r="N60" s="55" t="n">
        <x:v>0.67</x:v>
      </x:c>
      <x:c r="O60" s="54" t="n">
        <x:v>33049.21285382263</x:v>
      </x:c>
      <x:c r="P60" s="54" t="n">
        <x:v>39659.05542458715</x:v>
      </x:c>
      <x:c r="Q60" s="55" t="n">
        <x:v>0.011063540604825008</x:v>
      </x:c>
      <x:c r="R60" s="55" t="n">
        <x:v>0.26987779808772566</x:v>
      </x:c>
      <x:c r="S60" s="55" t="n">
        <x:v>0.7568620806506269</x:v>
      </x:c>
      <x:c r="T60" s="55" t="n">
        <x:v>1.3212446832325946</x:v>
      </x:c>
      <x:c r="U60" s="55" t="n">
        <x:v>0.5635300997686218</x:v>
      </x:c>
      <x:c r="V60" s="55" t="n">
        <x:v>0.8027644650809824</x:v>
      </x:c>
      <x:c r="W60" s="55" t="n">
        <x:v>0.5335346854396831</x:v>
      </x:c>
      <x:c r="X60" s="55" t="n">
        <x:v>0.989939594368095</x:v>
      </x:c>
      <x:c r="Y60" s="54" t="n">
        <x:v>160936.8401235602</x:v>
      </x:c>
      <x:c r="Z60" s="54" t="n">
        <x:v>234125.56766718256</x:v>
      </x:c>
      <x:c r="AA60" s="54" t="n">
        <x:v>104295.81431295132</x:v>
      </x:c>
      <x:c r="AB60" s="55" t="n">
        <x:v>0.7</x:v>
      </x:c>
      <x:c r="AC60" s="55" t="n">
        <x:v>0.67</x:v>
      </x:c>
      <x:c r="AD60" s="55" t="n">
        <x:v>0.26</x:v>
      </x:c>
      <x:c r="AE60" s="55" t="n">
        <x:v>0.42</x:v>
      </x:c>
      <x:c r="AF60" s="55" t="n">
        <x:v>0.7</x:v>
      </x:c>
      <x:c r="AG60" s="53" t="str">
        <x:v>NBS China Statistical Yearbook 2025, Table 12-15</x:v>
      </x:c>
      <x:c r="AH60" s="53" t="str">
        <x:v>calibrated reconstruction; not historical author input</x:v>
      </x:c>
    </x:row>
    <x:row r="61" ht="32" hidden="0" customHeight="1">
      <x:c r="A61" s="48" t="str">
        <x:v>x_r08_s2_m2</x:v>
      </x:c>
      <x:c r="B61" s="48" t="str">
        <x:v>r08</x:v>
      </x:c>
      <x:c r="C61" s="48" t="str">
        <x:v>CN-HL</x:v>
      </x:c>
      <x:c r="D61" s="48" t="str">
        <x:v>Heilongjiang</x:v>
      </x:c>
      <x:c r="E61" s="48" t="str">
        <x:v>黑龙江</x:v>
      </x:c>
      <x:c r="F61" s="48" t="n">
        <x:v>2</x:v>
      </x:c>
      <x:c r="G61" s="48" t="str">
        <x:v>freshwater_capture</x:v>
      </x:c>
      <x:c r="H61" s="48" t="str">
        <x:v>淡水捕捞</x:v>
      </x:c>
      <x:c r="I61" s="48" t="n">
        <x:v>2</x:v>
      </x:c>
      <x:c r="J61" s="48" t="str">
        <x:v>deep_processing</x:v>
      </x:c>
      <x:c r="K61" s="48" t="str">
        <x:v>深加工</x:v>
      </x:c>
      <x:c r="L61" s="54" t="n">
        <x:v>51000</x:v>
      </x:c>
      <x:c r="M61" s="54" t="n">
        <x:v>49327.18336391437</x:v>
      </x:c>
      <x:c r="N61" s="55" t="n">
        <x:v>0.33</x:v>
      </x:c>
      <x:c r="O61" s="54" t="n">
        <x:v>16277.970510091744</x:v>
      </x:c>
      <x:c r="P61" s="54" t="n">
        <x:v>19533.56461211009</x:v>
      </x:c>
      <x:c r="Q61" s="55" t="n">
        <x:v>0.011063540604825008</x:v>
      </x:c>
      <x:c r="R61" s="55" t="n">
        <x:v>0.26987779808772566</x:v>
      </x:c>
      <x:c r="S61" s="55" t="n">
        <x:v>0.7568620806506269</x:v>
      </x:c>
      <x:c r="T61" s="55" t="n">
        <x:v>1.3212446832325946</x:v>
      </x:c>
      <x:c r="U61" s="55" t="n">
        <x:v>0.5635300997686218</x:v>
      </x:c>
      <x:c r="V61" s="55" t="n">
        <x:v>0.8027644650809824</x:v>
      </x:c>
      <x:c r="W61" s="55" t="n">
        <x:v>0.5335346854396831</x:v>
      </x:c>
      <x:c r="X61" s="55" t="n">
        <x:v>0.989939594368095</x:v>
      </x:c>
      <x:c r="Y61" s="54" t="n">
        <x:v>160936.8401235602</x:v>
      </x:c>
      <x:c r="Z61" s="54" t="n">
        <x:v>234125.56766718256</x:v>
      </x:c>
      <x:c r="AA61" s="54" t="n">
        <x:v>104295.81431295132</x:v>
      </x:c>
      <x:c r="AB61" s="55" t="n">
        <x:v>0.86</x:v>
      </x:c>
      <x:c r="AC61" s="55" t="n">
        <x:v>0.99</x:v>
      </x:c>
      <x:c r="AD61" s="55" t="n">
        <x:v>0.34</x:v>
      </x:c>
      <x:c r="AE61" s="55" t="n">
        <x:v>0.45</x:v>
      </x:c>
      <x:c r="AF61" s="55" t="n">
        <x:v>0.7</x:v>
      </x:c>
      <x:c r="AG61" s="53" t="str">
        <x:v>NBS China Statistical Yearbook 2025, Table 12-15</x:v>
      </x:c>
      <x:c r="AH61" s="53" t="str">
        <x:v>calibrated reconstruction; not historical author input</x:v>
      </x:c>
    </x:row>
    <x:row r="62" ht="32" hidden="0" customHeight="1">
      <x:c r="A62" s="48" t="str">
        <x:v>x_r08_s3_m1</x:v>
      </x:c>
      <x:c r="B62" s="48" t="str">
        <x:v>r08</x:v>
      </x:c>
      <x:c r="C62" s="48" t="str">
        <x:v>CN-HL</x:v>
      </x:c>
      <x:c r="D62" s="48" t="str">
        <x:v>Heilongjiang</x:v>
      </x:c>
      <x:c r="E62" s="48" t="str">
        <x:v>黑龙江</x:v>
      </x:c>
      <x:c r="F62" s="48" t="n">
        <x:v>3</x:v>
      </x:c>
      <x:c r="G62" s="48" t="str">
        <x:v>marine_aquaculture</x:v>
      </x:c>
      <x:c r="H62" s="48" t="str">
        <x:v>海水养殖</x:v>
      </x:c>
      <x:c r="I62" s="48" t="n">
        <x:v>1</x:v>
      </x:c>
      <x:c r="J62" s="48" t="str">
        <x:v>fresh_sales</x:v>
      </x:c>
      <x:c r="K62" s="48" t="str">
        <x:v>鲜销</x:v>
      </x:c>
      <x:c r="L62" s="54" t="n">
        <x:v>0</x:v>
      </x:c>
      <x:c r="M62" s="54" t="n">
        <x:v>0</x:v>
      </x:c>
      <x:c r="N62" s="55" t="n">
        <x:v>0.74</x:v>
      </x:c>
      <x:c r="O62" s="54" t="n">
        <x:v>0</x:v>
      </x:c>
      <x:c r="P62" s="54" t="n">
        <x:v>0</x:v>
      </x:c>
      <x:c r="Q62" s="55" t="n">
        <x:v>0.011063540604825008</x:v>
      </x:c>
      <x:c r="R62" s="55" t="n">
        <x:v>0.26987779808772566</x:v>
      </x:c>
      <x:c r="S62" s="55" t="n">
        <x:v>0.7568620806506269</x:v>
      </x:c>
      <x:c r="T62" s="55" t="n">
        <x:v>1.3212446832325946</x:v>
      </x:c>
      <x:c r="U62" s="55" t="n">
        <x:v>0.5635300997686218</x:v>
      </x:c>
      <x:c r="V62" s="55" t="n">
        <x:v>0.8027644650809824</x:v>
      </x:c>
      <x:c r="W62" s="55" t="n">
        <x:v>0.5335346854396831</x:v>
      </x:c>
      <x:c r="X62" s="55" t="n">
        <x:v>0.989939594368095</x:v>
      </x:c>
      <x:c r="Y62" s="54" t="n">
        <x:v>160936.8401235602</x:v>
      </x:c>
      <x:c r="Z62" s="54" t="n">
        <x:v>234125.56766718256</x:v>
      </x:c>
      <x:c r="AA62" s="54" t="n">
        <x:v>104295.81431295132</x:v>
      </x:c>
      <x:c r="AB62" s="55" t="n">
        <x:v>0.84</x:v>
      </x:c>
      <x:c r="AC62" s="55" t="n">
        <x:v>0.8</x:v>
      </x:c>
      <x:c r="AD62" s="55" t="n">
        <x:v>0.33</x:v>
      </x:c>
      <x:c r="AE62" s="55" t="n">
        <x:v>0.78</x:v>
      </x:c>
      <x:c r="AF62" s="55" t="n">
        <x:v>0.11</x:v>
      </x:c>
      <x:c r="AG62" s="53" t="str">
        <x:v>NBS China Statistical Yearbook 2025, Table 12-15</x:v>
      </x:c>
      <x:c r="AH62" s="53" t="str">
        <x:v>calibrated reconstruction; not historical author input</x:v>
      </x:c>
    </x:row>
    <x:row r="63" ht="32" hidden="0" customHeight="1">
      <x:c r="A63" s="48" t="str">
        <x:v>x_r08_s3_m2</x:v>
      </x:c>
      <x:c r="B63" s="48" t="str">
        <x:v>r08</x:v>
      </x:c>
      <x:c r="C63" s="48" t="str">
        <x:v>CN-HL</x:v>
      </x:c>
      <x:c r="D63" s="48" t="str">
        <x:v>Heilongjiang</x:v>
      </x:c>
      <x:c r="E63" s="48" t="str">
        <x:v>黑龙江</x:v>
      </x:c>
      <x:c r="F63" s="48" t="n">
        <x:v>3</x:v>
      </x:c>
      <x:c r="G63" s="48" t="str">
        <x:v>marine_aquaculture</x:v>
      </x:c>
      <x:c r="H63" s="48" t="str">
        <x:v>海水养殖</x:v>
      </x:c>
      <x:c r="I63" s="48" t="n">
        <x:v>2</x:v>
      </x:c>
      <x:c r="J63" s="48" t="str">
        <x:v>deep_processing</x:v>
      </x:c>
      <x:c r="K63" s="48" t="str">
        <x:v>深加工</x:v>
      </x:c>
      <x:c r="L63" s="54" t="n">
        <x:v>0</x:v>
      </x:c>
      <x:c r="M63" s="54" t="n">
        <x:v>0</x:v>
      </x:c>
      <x:c r="N63" s="55" t="n">
        <x:v>0.26</x:v>
      </x:c>
      <x:c r="O63" s="54" t="n">
        <x:v>0</x:v>
      </x:c>
      <x:c r="P63" s="54" t="n">
        <x:v>0</x:v>
      </x:c>
      <x:c r="Q63" s="55" t="n">
        <x:v>0.011063540604825008</x:v>
      </x:c>
      <x:c r="R63" s="55" t="n">
        <x:v>0.26987779808772566</x:v>
      </x:c>
      <x:c r="S63" s="55" t="n">
        <x:v>0.7568620806506269</x:v>
      </x:c>
      <x:c r="T63" s="55" t="n">
        <x:v>1.3212446832325946</x:v>
      </x:c>
      <x:c r="U63" s="55" t="n">
        <x:v>0.5635300997686218</x:v>
      </x:c>
      <x:c r="V63" s="55" t="n">
        <x:v>0.8027644650809824</x:v>
      </x:c>
      <x:c r="W63" s="55" t="n">
        <x:v>0.5335346854396831</x:v>
      </x:c>
      <x:c r="X63" s="55" t="n">
        <x:v>0.989939594368095</x:v>
      </x:c>
      <x:c r="Y63" s="54" t="n">
        <x:v>160936.8401235602</x:v>
      </x:c>
      <x:c r="Z63" s="54" t="n">
        <x:v>234125.56766718256</x:v>
      </x:c>
      <x:c r="AA63" s="54" t="n">
        <x:v>104295.81431295132</x:v>
      </x:c>
      <x:c r="AB63" s="55" t="n">
        <x:v>1.02</x:v>
      </x:c>
      <x:c r="AC63" s="55" t="n">
        <x:v>1.16</x:v>
      </x:c>
      <x:c r="AD63" s="55" t="n">
        <x:v>0.41</x:v>
      </x:c>
      <x:c r="AE63" s="55" t="n">
        <x:v>0.81</x:v>
      </x:c>
      <x:c r="AF63" s="55" t="n">
        <x:v>0.11</x:v>
      </x:c>
      <x:c r="AG63" s="53" t="str">
        <x:v>NBS China Statistical Yearbook 2025, Table 12-15</x:v>
      </x:c>
      <x:c r="AH63" s="53" t="str">
        <x:v>calibrated reconstruction; not historical author input</x:v>
      </x:c>
    </x:row>
    <x:row r="64" ht="32" hidden="0" customHeight="1">
      <x:c r="A64" s="48" t="str">
        <x:v>x_r08_s4_m1</x:v>
      </x:c>
      <x:c r="B64" s="48" t="str">
        <x:v>r08</x:v>
      </x:c>
      <x:c r="C64" s="48" t="str">
        <x:v>CN-HL</x:v>
      </x:c>
      <x:c r="D64" s="48" t="str">
        <x:v>Heilongjiang</x:v>
      </x:c>
      <x:c r="E64" s="48" t="str">
        <x:v>黑龙江</x:v>
      </x:c>
      <x:c r="F64" s="48" t="n">
        <x:v>4</x:v>
      </x:c>
      <x:c r="G64" s="48" t="str">
        <x:v>freshwater_aquaculture</x:v>
      </x:c>
      <x:c r="H64" s="48" t="str">
        <x:v>淡水养殖</x:v>
      </x:c>
      <x:c r="I64" s="48" t="n">
        <x:v>1</x:v>
      </x:c>
      <x:c r="J64" s="48" t="str">
        <x:v>fresh_sales</x:v>
      </x:c>
      <x:c r="K64" s="48" t="str">
        <x:v>鲜销</x:v>
      </x:c>
      <x:c r="L64" s="54" t="n">
        <x:v>763000</x:v>
      </x:c>
      <x:c r="M64" s="54" t="n">
        <x:v>737973.3511111111</x:v>
      </x:c>
      <x:c r="N64" s="55" t="n">
        <x:v>0.78</x:v>
      </x:c>
      <x:c r="O64" s="54" t="n">
        <x:v>575619.2138666667</x:v>
      </x:c>
      <x:c r="P64" s="54" t="n">
        <x:v>690743.05664</x:v>
      </x:c>
      <x:c r="Q64" s="55" t="n">
        <x:v>0.011063540604825008</x:v>
      </x:c>
      <x:c r="R64" s="55" t="n">
        <x:v>0.26987779808772566</x:v>
      </x:c>
      <x:c r="S64" s="55" t="n">
        <x:v>0.7568620806506269</x:v>
      </x:c>
      <x:c r="T64" s="55" t="n">
        <x:v>1.3212446832325946</x:v>
      </x:c>
      <x:c r="U64" s="55" t="n">
        <x:v>0.5635300997686218</x:v>
      </x:c>
      <x:c r="V64" s="55" t="n">
        <x:v>0.8027644650809824</x:v>
      </x:c>
      <x:c r="W64" s="55" t="n">
        <x:v>0.5335346854396831</x:v>
      </x:c>
      <x:c r="X64" s="55" t="n">
        <x:v>0.989939594368095</x:v>
      </x:c>
      <x:c r="Y64" s="54" t="n">
        <x:v>160936.8401235602</x:v>
      </x:c>
      <x:c r="Z64" s="54" t="n">
        <x:v>234125.56766718256</x:v>
      </x:c>
      <x:c r="AA64" s="54" t="n">
        <x:v>104295.81431295132</x:v>
      </x:c>
      <x:c r="AB64" s="55" t="n">
        <x:v>0.88</x:v>
      </x:c>
      <x:c r="AC64" s="55" t="n">
        <x:v>0.84</x:v>
      </x:c>
      <x:c r="AD64" s="55" t="n">
        <x:v>0.31</x:v>
      </x:c>
      <x:c r="AE64" s="55" t="n">
        <x:v>0.88</x:v>
      </x:c>
      <x:c r="AF64" s="55" t="n">
        <x:v>0.08</x:v>
      </x:c>
      <x:c r="AG64" s="53" t="str">
        <x:v>NBS China Statistical Yearbook 2025, Table 12-15</x:v>
      </x:c>
      <x:c r="AH64" s="53" t="str">
        <x:v>calibrated reconstruction; not historical author input</x:v>
      </x:c>
    </x:row>
    <x:row r="65" ht="32" hidden="0" customHeight="1">
      <x:c r="A65" s="48" t="str">
        <x:v>x_r08_s4_m2</x:v>
      </x:c>
      <x:c r="B65" s="48" t="str">
        <x:v>r08</x:v>
      </x:c>
      <x:c r="C65" s="48" t="str">
        <x:v>CN-HL</x:v>
      </x:c>
      <x:c r="D65" s="48" t="str">
        <x:v>Heilongjiang</x:v>
      </x:c>
      <x:c r="E65" s="48" t="str">
        <x:v>黑龙江</x:v>
      </x:c>
      <x:c r="F65" s="48" t="n">
        <x:v>4</x:v>
      </x:c>
      <x:c r="G65" s="48" t="str">
        <x:v>freshwater_aquaculture</x:v>
      </x:c>
      <x:c r="H65" s="48" t="str">
        <x:v>淡水养殖</x:v>
      </x:c>
      <x:c r="I65" s="48" t="n">
        <x:v>2</x:v>
      </x:c>
      <x:c r="J65" s="48" t="str">
        <x:v>deep_processing</x:v>
      </x:c>
      <x:c r="K65" s="48" t="str">
        <x:v>深加工</x:v>
      </x:c>
      <x:c r="L65" s="54" t="n">
        <x:v>763000</x:v>
      </x:c>
      <x:c r="M65" s="54" t="n">
        <x:v>737973.3511111111</x:v>
      </x:c>
      <x:c r="N65" s="55" t="n">
        <x:v>0.22</x:v>
      </x:c>
      <x:c r="O65" s="54" t="n">
        <x:v>162354.13724444446</x:v>
      </x:c>
      <x:c r="P65" s="54" t="n">
        <x:v>194824.96469333334</x:v>
      </x:c>
      <x:c r="Q65" s="55" t="n">
        <x:v>0.011063540604825008</x:v>
      </x:c>
      <x:c r="R65" s="55" t="n">
        <x:v>0.26987779808772566</x:v>
      </x:c>
      <x:c r="S65" s="55" t="n">
        <x:v>0.7568620806506269</x:v>
      </x:c>
      <x:c r="T65" s="55" t="n">
        <x:v>1.3212446832325946</x:v>
      </x:c>
      <x:c r="U65" s="55" t="n">
        <x:v>0.5635300997686218</x:v>
      </x:c>
      <x:c r="V65" s="55" t="n">
        <x:v>0.8027644650809824</x:v>
      </x:c>
      <x:c r="W65" s="55" t="n">
        <x:v>0.5335346854396831</x:v>
      </x:c>
      <x:c r="X65" s="55" t="n">
        <x:v>0.989939594368095</x:v>
      </x:c>
      <x:c r="Y65" s="54" t="n">
        <x:v>160936.8401235602</x:v>
      </x:c>
      <x:c r="Z65" s="54" t="n">
        <x:v>234125.56766718256</x:v>
      </x:c>
      <x:c r="AA65" s="54" t="n">
        <x:v>104295.81431295132</x:v>
      </x:c>
      <x:c r="AB65" s="55" t="n">
        <x:v>1.06</x:v>
      </x:c>
      <x:c r="AC65" s="55" t="n">
        <x:v>1.2</x:v>
      </x:c>
      <x:c r="AD65" s="55" t="n">
        <x:v>0.39</x:v>
      </x:c>
      <x:c r="AE65" s="55" t="n">
        <x:v>0.91</x:v>
      </x:c>
      <x:c r="AF65" s="55" t="n">
        <x:v>0.08</x:v>
      </x:c>
      <x:c r="AG65" s="53" t="str">
        <x:v>NBS China Statistical Yearbook 2025, Table 12-15</x:v>
      </x:c>
      <x:c r="AH65" s="53" t="str">
        <x:v>calibrated reconstruction; not historical author input</x:v>
      </x:c>
    </x:row>
    <x:row r="66" ht="32" hidden="0" customHeight="1">
      <x:c r="A66" s="48" t="str">
        <x:v>x_r09_s1_m1</x:v>
      </x:c>
      <x:c r="B66" s="48" t="str">
        <x:v>r09</x:v>
      </x:c>
      <x:c r="C66" s="48" t="str">
        <x:v>CN-SH</x:v>
      </x:c>
      <x:c r="D66" s="48" t="str">
        <x:v>Shanghai</x:v>
      </x:c>
      <x:c r="E66" s="48" t="str">
        <x:v>上海</x:v>
      </x:c>
      <x:c r="F66" s="48" t="n">
        <x:v>1</x:v>
      </x:c>
      <x:c r="G66" s="48" t="str">
        <x:v>marine_capture</x:v>
      </x:c>
      <x:c r="H66" s="48" t="str">
        <x:v>海洋捕捞</x:v>
      </x:c>
      <x:c r="I66" s="48" t="n">
        <x:v>1</x:v>
      </x:c>
      <x:c r="J66" s="48" t="str">
        <x:v>fresh_sales</x:v>
      </x:c>
      <x:c r="K66" s="48" t="str">
        <x:v>鲜销</x:v>
      </x:c>
      <x:c r="L66" s="54" t="n">
        <x:v>121000</x:v>
      </x:c>
      <x:c r="M66" s="54" t="n">
        <x:v>117031.16053007136</x:v>
      </x:c>
      <x:c r="N66" s="55" t="n">
        <x:v>0.62</x:v>
      </x:c>
      <x:c r="O66" s="54" t="n">
        <x:v>72559.31952864424</x:v>
      </x:c>
      <x:c r="P66" s="54" t="n">
        <x:v>87071.18343437307</x:v>
      </x:c>
      <x:c r="Q66" s="55" t="n">
        <x:v>0.0029901461094121646</x:v>
      </x:c>
      <x:c r="R66" s="55" t="n">
        <x:v>0.6872736166510192</x:v>
      </x:c>
      <x:c r="S66" s="55" t="n">
        <x:v>1.45</x:v>
      </x:c>
      <x:c r="T66" s="55" t="n">
        <x:v>0.65</x:v>
      </x:c>
      <x:c r="U66" s="55" t="n">
        <x:v>0.011365389685132364</x:v>
      </x:c>
      <x:c r="V66" s="55" t="n">
        <x:v>0.9960221136102037</x:v>
      </x:c>
      <x:c r="W66" s="55" t="n">
        <x:v>0.7653772783796862</x:v>
      </x:c>
      <x:c r="X66" s="55" t="n">
        <x:v>0.9203868164860941</x:v>
      </x:c>
      <x:c r="Y66" s="54" t="n">
        <x:v>78235.81417005883</x:v>
      </x:c>
      <x:c r="Z66" s="54" t="n">
        <x:v>74130.30353541767</x:v>
      </x:c>
      <x:c r="AA66" s="54" t="n">
        <x:v>150131.3793817838</x:v>
      </x:c>
      <x:c r="AB66" s="55" t="n">
        <x:v>0.65</x:v>
      </x:c>
      <x:c r="AC66" s="55" t="n">
        <x:v>0.62</x:v>
      </x:c>
      <x:c r="AD66" s="55" t="n">
        <x:v>0.29</x:v>
      </x:c>
      <x:c r="AE66" s="55" t="n">
        <x:v>0.28</x:v>
      </x:c>
      <x:c r="AF66" s="55" t="n">
        <x:v>1</x:v>
      </x:c>
      <x:c r="AG66" s="53" t="str">
        <x:v>NBS China Statistical Yearbook 2025, Table 12-15</x:v>
      </x:c>
      <x:c r="AH66" s="53" t="str">
        <x:v>calibrated reconstruction; not historical author input</x:v>
      </x:c>
    </x:row>
    <x:row r="67" ht="32" hidden="0" customHeight="1">
      <x:c r="A67" s="48" t="str">
        <x:v>x_r09_s1_m2</x:v>
      </x:c>
      <x:c r="B67" s="48" t="str">
        <x:v>r09</x:v>
      </x:c>
      <x:c r="C67" s="48" t="str">
        <x:v>CN-SH</x:v>
      </x:c>
      <x:c r="D67" s="48" t="str">
        <x:v>Shanghai</x:v>
      </x:c>
      <x:c r="E67" s="48" t="str">
        <x:v>上海</x:v>
      </x:c>
      <x:c r="F67" s="48" t="n">
        <x:v>1</x:v>
      </x:c>
      <x:c r="G67" s="48" t="str">
        <x:v>marine_capture</x:v>
      </x:c>
      <x:c r="H67" s="48" t="str">
        <x:v>海洋捕捞</x:v>
      </x:c>
      <x:c r="I67" s="48" t="n">
        <x:v>2</x:v>
      </x:c>
      <x:c r="J67" s="48" t="str">
        <x:v>deep_processing</x:v>
      </x:c>
      <x:c r="K67" s="48" t="str">
        <x:v>深加工</x:v>
      </x:c>
      <x:c r="L67" s="54" t="n">
        <x:v>121000</x:v>
      </x:c>
      <x:c r="M67" s="54" t="n">
        <x:v>117031.16053007136</x:v>
      </x:c>
      <x:c r="N67" s="55" t="n">
        <x:v>0.38</x:v>
      </x:c>
      <x:c r="O67" s="54" t="n">
        <x:v>44471.841001427114</x:v>
      </x:c>
      <x:c r="P67" s="54" t="n">
        <x:v>53366.20920171253</x:v>
      </x:c>
      <x:c r="Q67" s="55" t="n">
        <x:v>0.0029901461094121646</x:v>
      </x:c>
      <x:c r="R67" s="55" t="n">
        <x:v>0.6872736166510192</x:v>
      </x:c>
      <x:c r="S67" s="55" t="n">
        <x:v>1.45</x:v>
      </x:c>
      <x:c r="T67" s="55" t="n">
        <x:v>0.65</x:v>
      </x:c>
      <x:c r="U67" s="55" t="n">
        <x:v>0.011365389685132364</x:v>
      </x:c>
      <x:c r="V67" s="55" t="n">
        <x:v>0.9960221136102037</x:v>
      </x:c>
      <x:c r="W67" s="55" t="n">
        <x:v>0.7653772783796862</x:v>
      </x:c>
      <x:c r="X67" s="55" t="n">
        <x:v>0.9203868164860941</x:v>
      </x:c>
      <x:c r="Y67" s="54" t="n">
        <x:v>78235.81417005883</x:v>
      </x:c>
      <x:c r="Z67" s="54" t="n">
        <x:v>74130.30353541767</x:v>
      </x:c>
      <x:c r="AA67" s="54" t="n">
        <x:v>150131.3793817838</x:v>
      </x:c>
      <x:c r="AB67" s="55" t="n">
        <x:v>0.82</x:v>
      </x:c>
      <x:c r="AC67" s="55" t="n">
        <x:v>0.95</x:v>
      </x:c>
      <x:c r="AD67" s="55" t="n">
        <x:v>0.36</x:v>
      </x:c>
      <x:c r="AE67" s="55" t="n">
        <x:v>0.31</x:v>
      </x:c>
      <x:c r="AF67" s="55" t="n">
        <x:v>1</x:v>
      </x:c>
      <x:c r="AG67" s="53" t="str">
        <x:v>NBS China Statistical Yearbook 2025, Table 12-15</x:v>
      </x:c>
      <x:c r="AH67" s="53" t="str">
        <x:v>calibrated reconstruction; not historical author input</x:v>
      </x:c>
    </x:row>
    <x:row r="68" ht="32" hidden="0" customHeight="1">
      <x:c r="A68" s="48" t="str">
        <x:v>x_r09_s2_m1</x:v>
      </x:c>
      <x:c r="B68" s="48" t="str">
        <x:v>r09</x:v>
      </x:c>
      <x:c r="C68" s="48" t="str">
        <x:v>CN-SH</x:v>
      </x:c>
      <x:c r="D68" s="48" t="str">
        <x:v>Shanghai</x:v>
      </x:c>
      <x:c r="E68" s="48" t="str">
        <x:v>上海</x:v>
      </x:c>
      <x:c r="F68" s="48" t="n">
        <x:v>2</x:v>
      </x:c>
      <x:c r="G68" s="48" t="str">
        <x:v>freshwater_capture</x:v>
      </x:c>
      <x:c r="H68" s="48" t="str">
        <x:v>淡水捕捞</x:v>
      </x:c>
      <x:c r="I68" s="48" t="n">
        <x:v>1</x:v>
      </x:c>
      <x:c r="J68" s="48" t="str">
        <x:v>fresh_sales</x:v>
      </x:c>
      <x:c r="K68" s="48" t="str">
        <x:v>鲜销</x:v>
      </x:c>
      <x:c r="L68" s="54" t="n">
        <x:v>0</x:v>
      </x:c>
      <x:c r="M68" s="54" t="n">
        <x:v>0</x:v>
      </x:c>
      <x:c r="N68" s="55" t="n">
        <x:v>0.67</x:v>
      </x:c>
      <x:c r="O68" s="54" t="n">
        <x:v>0</x:v>
      </x:c>
      <x:c r="P68" s="54" t="n">
        <x:v>0</x:v>
      </x:c>
      <x:c r="Q68" s="55" t="n">
        <x:v>0.0029901461094121646</x:v>
      </x:c>
      <x:c r="R68" s="55" t="n">
        <x:v>0.6872736166510192</x:v>
      </x:c>
      <x:c r="S68" s="55" t="n">
        <x:v>1.45</x:v>
      </x:c>
      <x:c r="T68" s="55" t="n">
        <x:v>0.65</x:v>
      </x:c>
      <x:c r="U68" s="55" t="n">
        <x:v>0.011365389685132364</x:v>
      </x:c>
      <x:c r="V68" s="55" t="n">
        <x:v>0.9960221136102037</x:v>
      </x:c>
      <x:c r="W68" s="55" t="n">
        <x:v>0.7653772783796862</x:v>
      </x:c>
      <x:c r="X68" s="55" t="n">
        <x:v>0.9203868164860941</x:v>
      </x:c>
      <x:c r="Y68" s="54" t="n">
        <x:v>78235.81417005883</x:v>
      </x:c>
      <x:c r="Z68" s="54" t="n">
        <x:v>74130.30353541767</x:v>
      </x:c>
      <x:c r="AA68" s="54" t="n">
        <x:v>150131.3793817838</x:v>
      </x:c>
      <x:c r="AB68" s="55" t="n">
        <x:v>0.7</x:v>
      </x:c>
      <x:c r="AC68" s="55" t="n">
        <x:v>0.67</x:v>
      </x:c>
      <x:c r="AD68" s="55" t="n">
        <x:v>0.26</x:v>
      </x:c>
      <x:c r="AE68" s="55" t="n">
        <x:v>0.42</x:v>
      </x:c>
      <x:c r="AF68" s="55" t="n">
        <x:v>0.7</x:v>
      </x:c>
      <x:c r="AG68" s="53" t="str">
        <x:v>NBS China Statistical Yearbook 2025, Table 12-15</x:v>
      </x:c>
      <x:c r="AH68" s="53" t="str">
        <x:v>calibrated reconstruction; not historical author input</x:v>
      </x:c>
    </x:row>
    <x:row r="69" ht="32" hidden="0" customHeight="1">
      <x:c r="A69" s="48" t="str">
        <x:v>x_r09_s2_m2</x:v>
      </x:c>
      <x:c r="B69" s="48" t="str">
        <x:v>r09</x:v>
      </x:c>
      <x:c r="C69" s="48" t="str">
        <x:v>CN-SH</x:v>
      </x:c>
      <x:c r="D69" s="48" t="str">
        <x:v>Shanghai</x:v>
      </x:c>
      <x:c r="E69" s="48" t="str">
        <x:v>上海</x:v>
      </x:c>
      <x:c r="F69" s="48" t="n">
        <x:v>2</x:v>
      </x:c>
      <x:c r="G69" s="48" t="str">
        <x:v>freshwater_capture</x:v>
      </x:c>
      <x:c r="H69" s="48" t="str">
        <x:v>淡水捕捞</x:v>
      </x:c>
      <x:c r="I69" s="48" t="n">
        <x:v>2</x:v>
      </x:c>
      <x:c r="J69" s="48" t="str">
        <x:v>deep_processing</x:v>
      </x:c>
      <x:c r="K69" s="48" t="str">
        <x:v>深加工</x:v>
      </x:c>
      <x:c r="L69" s="54" t="n">
        <x:v>0</x:v>
      </x:c>
      <x:c r="M69" s="54" t="n">
        <x:v>0</x:v>
      </x:c>
      <x:c r="N69" s="55" t="n">
        <x:v>0.33</x:v>
      </x:c>
      <x:c r="O69" s="54" t="n">
        <x:v>0</x:v>
      </x:c>
      <x:c r="P69" s="54" t="n">
        <x:v>0</x:v>
      </x:c>
      <x:c r="Q69" s="55" t="n">
        <x:v>0.0029901461094121646</x:v>
      </x:c>
      <x:c r="R69" s="55" t="n">
        <x:v>0.6872736166510192</x:v>
      </x:c>
      <x:c r="S69" s="55" t="n">
        <x:v>1.45</x:v>
      </x:c>
      <x:c r="T69" s="55" t="n">
        <x:v>0.65</x:v>
      </x:c>
      <x:c r="U69" s="55" t="n">
        <x:v>0.011365389685132364</x:v>
      </x:c>
      <x:c r="V69" s="55" t="n">
        <x:v>0.9960221136102037</x:v>
      </x:c>
      <x:c r="W69" s="55" t="n">
        <x:v>0.7653772783796862</x:v>
      </x:c>
      <x:c r="X69" s="55" t="n">
        <x:v>0.9203868164860941</x:v>
      </x:c>
      <x:c r="Y69" s="54" t="n">
        <x:v>78235.81417005883</x:v>
      </x:c>
      <x:c r="Z69" s="54" t="n">
        <x:v>74130.30353541767</x:v>
      </x:c>
      <x:c r="AA69" s="54" t="n">
        <x:v>150131.3793817838</x:v>
      </x:c>
      <x:c r="AB69" s="55" t="n">
        <x:v>0.86</x:v>
      </x:c>
      <x:c r="AC69" s="55" t="n">
        <x:v>0.99</x:v>
      </x:c>
      <x:c r="AD69" s="55" t="n">
        <x:v>0.34</x:v>
      </x:c>
      <x:c r="AE69" s="55" t="n">
        <x:v>0.45</x:v>
      </x:c>
      <x:c r="AF69" s="55" t="n">
        <x:v>0.7</x:v>
      </x:c>
      <x:c r="AG69" s="53" t="str">
        <x:v>NBS China Statistical Yearbook 2025, Table 12-15</x:v>
      </x:c>
      <x:c r="AH69" s="53" t="str">
        <x:v>calibrated reconstruction; not historical author input</x:v>
      </x:c>
    </x:row>
    <x:row r="70" ht="32" hidden="0" customHeight="1">
      <x:c r="A70" s="48" t="str">
        <x:v>x_r09_s3_m1</x:v>
      </x:c>
      <x:c r="B70" s="48" t="str">
        <x:v>r09</x:v>
      </x:c>
      <x:c r="C70" s="48" t="str">
        <x:v>CN-SH</x:v>
      </x:c>
      <x:c r="D70" s="48" t="str">
        <x:v>Shanghai</x:v>
      </x:c>
      <x:c r="E70" s="48" t="str">
        <x:v>上海</x:v>
      </x:c>
      <x:c r="F70" s="48" t="n">
        <x:v>3</x:v>
      </x:c>
      <x:c r="G70" s="48" t="str">
        <x:v>marine_aquaculture</x:v>
      </x:c>
      <x:c r="H70" s="48" t="str">
        <x:v>海水养殖</x:v>
      </x:c>
      <x:c r="I70" s="48" t="n">
        <x:v>1</x:v>
      </x:c>
      <x:c r="J70" s="48" t="str">
        <x:v>fresh_sales</x:v>
      </x:c>
      <x:c r="K70" s="48" t="str">
        <x:v>鲜销</x:v>
      </x:c>
      <x:c r="L70" s="54" t="n">
        <x:v>0</x:v>
      </x:c>
      <x:c r="M70" s="54" t="n">
        <x:v>0</x:v>
      </x:c>
      <x:c r="N70" s="55" t="n">
        <x:v>0.74</x:v>
      </x:c>
      <x:c r="O70" s="54" t="n">
        <x:v>0</x:v>
      </x:c>
      <x:c r="P70" s="54" t="n">
        <x:v>0</x:v>
      </x:c>
      <x:c r="Q70" s="55" t="n">
        <x:v>0.0029901461094121646</x:v>
      </x:c>
      <x:c r="R70" s="55" t="n">
        <x:v>0.6872736166510192</x:v>
      </x:c>
      <x:c r="S70" s="55" t="n">
        <x:v>1.45</x:v>
      </x:c>
      <x:c r="T70" s="55" t="n">
        <x:v>0.65</x:v>
      </x:c>
      <x:c r="U70" s="55" t="n">
        <x:v>0.011365389685132364</x:v>
      </x:c>
      <x:c r="V70" s="55" t="n">
        <x:v>0.9960221136102037</x:v>
      </x:c>
      <x:c r="W70" s="55" t="n">
        <x:v>0.7653772783796862</x:v>
      </x:c>
      <x:c r="X70" s="55" t="n">
        <x:v>0.9203868164860941</x:v>
      </x:c>
      <x:c r="Y70" s="54" t="n">
        <x:v>78235.81417005883</x:v>
      </x:c>
      <x:c r="Z70" s="54" t="n">
        <x:v>74130.30353541767</x:v>
      </x:c>
      <x:c r="AA70" s="54" t="n">
        <x:v>150131.3793817838</x:v>
      </x:c>
      <x:c r="AB70" s="55" t="n">
        <x:v>0.84</x:v>
      </x:c>
      <x:c r="AC70" s="55" t="n">
        <x:v>0.8</x:v>
      </x:c>
      <x:c r="AD70" s="55" t="n">
        <x:v>0.33</x:v>
      </x:c>
      <x:c r="AE70" s="55" t="n">
        <x:v>0.78</x:v>
      </x:c>
      <x:c r="AF70" s="55" t="n">
        <x:v>0.11</x:v>
      </x:c>
      <x:c r="AG70" s="53" t="str">
        <x:v>NBS China Statistical Yearbook 2025, Table 12-15</x:v>
      </x:c>
      <x:c r="AH70" s="53" t="str">
        <x:v>calibrated reconstruction; not historical author input</x:v>
      </x:c>
    </x:row>
    <x:row r="71" ht="32" hidden="0" customHeight="1">
      <x:c r="A71" s="48" t="str">
        <x:v>x_r09_s3_m2</x:v>
      </x:c>
      <x:c r="B71" s="48" t="str">
        <x:v>r09</x:v>
      </x:c>
      <x:c r="C71" s="48" t="str">
        <x:v>CN-SH</x:v>
      </x:c>
      <x:c r="D71" s="48" t="str">
        <x:v>Shanghai</x:v>
      </x:c>
      <x:c r="E71" s="48" t="str">
        <x:v>上海</x:v>
      </x:c>
      <x:c r="F71" s="48" t="n">
        <x:v>3</x:v>
      </x:c>
      <x:c r="G71" s="48" t="str">
        <x:v>marine_aquaculture</x:v>
      </x:c>
      <x:c r="H71" s="48" t="str">
        <x:v>海水养殖</x:v>
      </x:c>
      <x:c r="I71" s="48" t="n">
        <x:v>2</x:v>
      </x:c>
      <x:c r="J71" s="48" t="str">
        <x:v>deep_processing</x:v>
      </x:c>
      <x:c r="K71" s="48" t="str">
        <x:v>深加工</x:v>
      </x:c>
      <x:c r="L71" s="54" t="n">
        <x:v>0</x:v>
      </x:c>
      <x:c r="M71" s="54" t="n">
        <x:v>0</x:v>
      </x:c>
      <x:c r="N71" s="55" t="n">
        <x:v>0.26</x:v>
      </x:c>
      <x:c r="O71" s="54" t="n">
        <x:v>0</x:v>
      </x:c>
      <x:c r="P71" s="54" t="n">
        <x:v>0</x:v>
      </x:c>
      <x:c r="Q71" s="55" t="n">
        <x:v>0.0029901461094121646</x:v>
      </x:c>
      <x:c r="R71" s="55" t="n">
        <x:v>0.6872736166510192</x:v>
      </x:c>
      <x:c r="S71" s="55" t="n">
        <x:v>1.45</x:v>
      </x:c>
      <x:c r="T71" s="55" t="n">
        <x:v>0.65</x:v>
      </x:c>
      <x:c r="U71" s="55" t="n">
        <x:v>0.011365389685132364</x:v>
      </x:c>
      <x:c r="V71" s="55" t="n">
        <x:v>0.9960221136102037</x:v>
      </x:c>
      <x:c r="W71" s="55" t="n">
        <x:v>0.7653772783796862</x:v>
      </x:c>
      <x:c r="X71" s="55" t="n">
        <x:v>0.9203868164860941</x:v>
      </x:c>
      <x:c r="Y71" s="54" t="n">
        <x:v>78235.81417005883</x:v>
      </x:c>
      <x:c r="Z71" s="54" t="n">
        <x:v>74130.30353541767</x:v>
      </x:c>
      <x:c r="AA71" s="54" t="n">
        <x:v>150131.3793817838</x:v>
      </x:c>
      <x:c r="AB71" s="55" t="n">
        <x:v>1.02</x:v>
      </x:c>
      <x:c r="AC71" s="55" t="n">
        <x:v>1.16</x:v>
      </x:c>
      <x:c r="AD71" s="55" t="n">
        <x:v>0.41</x:v>
      </x:c>
      <x:c r="AE71" s="55" t="n">
        <x:v>0.81</x:v>
      </x:c>
      <x:c r="AF71" s="55" t="n">
        <x:v>0.11</x:v>
      </x:c>
      <x:c r="AG71" s="53" t="str">
        <x:v>NBS China Statistical Yearbook 2025, Table 12-15</x:v>
      </x:c>
      <x:c r="AH71" s="53" t="str">
        <x:v>calibrated reconstruction; not historical author input</x:v>
      </x:c>
    </x:row>
    <x:row r="72" ht="32" hidden="0" customHeight="1">
      <x:c r="A72" s="48" t="str">
        <x:v>x_r09_s4_m1</x:v>
      </x:c>
      <x:c r="B72" s="48" t="str">
        <x:v>r09</x:v>
      </x:c>
      <x:c r="C72" s="48" t="str">
        <x:v>CN-SH</x:v>
      </x:c>
      <x:c r="D72" s="48" t="str">
        <x:v>Shanghai</x:v>
      </x:c>
      <x:c r="E72" s="48" t="str">
        <x:v>上海</x:v>
      </x:c>
      <x:c r="F72" s="48" t="n">
        <x:v>4</x:v>
      </x:c>
      <x:c r="G72" s="48" t="str">
        <x:v>freshwater_aquaculture</x:v>
      </x:c>
      <x:c r="H72" s="48" t="str">
        <x:v>淡水养殖</x:v>
      </x:c>
      <x:c r="I72" s="48" t="n">
        <x:v>1</x:v>
      </x:c>
      <x:c r="J72" s="48" t="str">
        <x:v>fresh_sales</x:v>
      </x:c>
      <x:c r="K72" s="48" t="str">
        <x:v>鲜销</x:v>
      </x:c>
      <x:c r="L72" s="54" t="n">
        <x:v>99000</x:v>
      </x:c>
      <x:c r="M72" s="54" t="n">
        <x:v>95752.76770642202</x:v>
      </x:c>
      <x:c r="N72" s="55" t="n">
        <x:v>0.78</x:v>
      </x:c>
      <x:c r="O72" s="54" t="n">
        <x:v>74687.15881100918</x:v>
      </x:c>
      <x:c r="P72" s="54" t="n">
        <x:v>89624.59057321101</x:v>
      </x:c>
      <x:c r="Q72" s="55" t="n">
        <x:v>0.0029901461094121646</x:v>
      </x:c>
      <x:c r="R72" s="55" t="n">
        <x:v>0.6872736166510192</x:v>
      </x:c>
      <x:c r="S72" s="55" t="n">
        <x:v>1.45</x:v>
      </x:c>
      <x:c r="T72" s="55" t="n">
        <x:v>0.65</x:v>
      </x:c>
      <x:c r="U72" s="55" t="n">
        <x:v>0.011365389685132364</x:v>
      </x:c>
      <x:c r="V72" s="55" t="n">
        <x:v>0.9960221136102037</x:v>
      </x:c>
      <x:c r="W72" s="55" t="n">
        <x:v>0.7653772783796862</x:v>
      </x:c>
      <x:c r="X72" s="55" t="n">
        <x:v>0.9203868164860941</x:v>
      </x:c>
      <x:c r="Y72" s="54" t="n">
        <x:v>78235.81417005883</x:v>
      </x:c>
      <x:c r="Z72" s="54" t="n">
        <x:v>74130.30353541767</x:v>
      </x:c>
      <x:c r="AA72" s="54" t="n">
        <x:v>150131.3793817838</x:v>
      </x:c>
      <x:c r="AB72" s="55" t="n">
        <x:v>0.88</x:v>
      </x:c>
      <x:c r="AC72" s="55" t="n">
        <x:v>0.84</x:v>
      </x:c>
      <x:c r="AD72" s="55" t="n">
        <x:v>0.31</x:v>
      </x:c>
      <x:c r="AE72" s="55" t="n">
        <x:v>0.88</x:v>
      </x:c>
      <x:c r="AF72" s="55" t="n">
        <x:v>0.08</x:v>
      </x:c>
      <x:c r="AG72" s="53" t="str">
        <x:v>NBS China Statistical Yearbook 2025, Table 12-15</x:v>
      </x:c>
      <x:c r="AH72" s="53" t="str">
        <x:v>calibrated reconstruction; not historical author input</x:v>
      </x:c>
    </x:row>
    <x:row r="73" ht="32" hidden="0" customHeight="1">
      <x:c r="A73" s="48" t="str">
        <x:v>x_r09_s4_m2</x:v>
      </x:c>
      <x:c r="B73" s="48" t="str">
        <x:v>r09</x:v>
      </x:c>
      <x:c r="C73" s="48" t="str">
        <x:v>CN-SH</x:v>
      </x:c>
      <x:c r="D73" s="48" t="str">
        <x:v>Shanghai</x:v>
      </x:c>
      <x:c r="E73" s="48" t="str">
        <x:v>上海</x:v>
      </x:c>
      <x:c r="F73" s="48" t="n">
        <x:v>4</x:v>
      </x:c>
      <x:c r="G73" s="48" t="str">
        <x:v>freshwater_aquaculture</x:v>
      </x:c>
      <x:c r="H73" s="48" t="str">
        <x:v>淡水养殖</x:v>
      </x:c>
      <x:c r="I73" s="48" t="n">
        <x:v>2</x:v>
      </x:c>
      <x:c r="J73" s="48" t="str">
        <x:v>deep_processing</x:v>
      </x:c>
      <x:c r="K73" s="48" t="str">
        <x:v>深加工</x:v>
      </x:c>
      <x:c r="L73" s="54" t="n">
        <x:v>99000</x:v>
      </x:c>
      <x:c r="M73" s="54" t="n">
        <x:v>95752.76770642202</x:v>
      </x:c>
      <x:c r="N73" s="55" t="n">
        <x:v>0.22</x:v>
      </x:c>
      <x:c r="O73" s="54" t="n">
        <x:v>21065.608895412843</x:v>
      </x:c>
      <x:c r="P73" s="54" t="n">
        <x:v>25278.73067449541</x:v>
      </x:c>
      <x:c r="Q73" s="55" t="n">
        <x:v>0.0029901461094121646</x:v>
      </x:c>
      <x:c r="R73" s="55" t="n">
        <x:v>0.6872736166510192</x:v>
      </x:c>
      <x:c r="S73" s="55" t="n">
        <x:v>1.45</x:v>
      </x:c>
      <x:c r="T73" s="55" t="n">
        <x:v>0.65</x:v>
      </x:c>
      <x:c r="U73" s="55" t="n">
        <x:v>0.011365389685132364</x:v>
      </x:c>
      <x:c r="V73" s="55" t="n">
        <x:v>0.9960221136102037</x:v>
      </x:c>
      <x:c r="W73" s="55" t="n">
        <x:v>0.7653772783796862</x:v>
      </x:c>
      <x:c r="X73" s="55" t="n">
        <x:v>0.9203868164860941</x:v>
      </x:c>
      <x:c r="Y73" s="54" t="n">
        <x:v>78235.81417005883</x:v>
      </x:c>
      <x:c r="Z73" s="54" t="n">
        <x:v>74130.30353541767</x:v>
      </x:c>
      <x:c r="AA73" s="54" t="n">
        <x:v>150131.3793817838</x:v>
      </x:c>
      <x:c r="AB73" s="55" t="n">
        <x:v>1.06</x:v>
      </x:c>
      <x:c r="AC73" s="55" t="n">
        <x:v>1.2</x:v>
      </x:c>
      <x:c r="AD73" s="55" t="n">
        <x:v>0.39</x:v>
      </x:c>
      <x:c r="AE73" s="55" t="n">
        <x:v>0.91</x:v>
      </x:c>
      <x:c r="AF73" s="55" t="n">
        <x:v>0.08</x:v>
      </x:c>
      <x:c r="AG73" s="53" t="str">
        <x:v>NBS China Statistical Yearbook 2025, Table 12-15</x:v>
      </x:c>
      <x:c r="AH73" s="53" t="str">
        <x:v>calibrated reconstruction; not historical author input</x:v>
      </x:c>
    </x:row>
    <x:row r="74" ht="32" hidden="0" customHeight="1">
      <x:c r="A74" s="48" t="str">
        <x:v>x_r10_s1_m1</x:v>
      </x:c>
      <x:c r="B74" s="48" t="str">
        <x:v>r10</x:v>
      </x:c>
      <x:c r="C74" s="48" t="str">
        <x:v>CN-JS</x:v>
      </x:c>
      <x:c r="D74" s="48" t="str">
        <x:v>Jiangsu</x:v>
      </x:c>
      <x:c r="E74" s="48" t="str">
        <x:v>江苏</x:v>
      </x:c>
      <x:c r="F74" s="48" t="n">
        <x:v>1</x:v>
      </x:c>
      <x:c r="G74" s="48" t="str">
        <x:v>marine_capture</x:v>
      </x:c>
      <x:c r="H74" s="48" t="str">
        <x:v>海洋捕捞</x:v>
      </x:c>
      <x:c r="I74" s="48" t="n">
        <x:v>1</x:v>
      </x:c>
      <x:c r="J74" s="48" t="str">
        <x:v>fresh_sales</x:v>
      </x:c>
      <x:c r="K74" s="48" t="str">
        <x:v>鲜销</x:v>
      </x:c>
      <x:c r="L74" s="54" t="n">
        <x:v>458000</x:v>
      </x:c>
      <x:c r="M74" s="54" t="n">
        <x:v>442977.4506014271</x:v>
      </x:c>
      <x:c r="N74" s="55" t="n">
        <x:v>0.62</x:v>
      </x:c>
      <x:c r="O74" s="54" t="n">
        <x:v>274646.0193728848</x:v>
      </x:c>
      <x:c r="P74" s="54" t="n">
        <x:v>329575.2232474618</x:v>
      </x:c>
      <x:c r="Q74" s="55" t="n">
        <x:v>0.07285083248386001</x:v>
      </x:c>
      <x:c r="R74" s="55" t="n">
        <x:v>0.3823603532879962</x:v>
      </x:c>
      <x:c r="S74" s="55" t="n">
        <x:v>1.3413128721498766</x:v>
      </x:c>
      <x:c r="T74" s="55" t="n">
        <x:v>0.7455382116755391</x:v>
      </x:c>
      <x:c r="U74" s="55" t="n">
        <x:v>0.3315188418889674</x:v>
      </x:c>
      <x:c r="V74" s="55" t="n">
        <x:v>0.8839684053388615</x:v>
      </x:c>
      <x:c r="W74" s="55" t="n">
        <x:v>0.9275760927783111</x:v>
      </x:c>
      <x:c r="X74" s="55" t="n">
        <x:v>0.8717271721665065</x:v>
      </x:c>
      <x:c r="Y74" s="54" t="n">
        <x:v>820951.308725978</x:v>
      </x:c>
      <x:c r="Z74" s="54" t="n">
        <x:v>1991075.0515960047</x:v>
      </x:c>
      <x:c r="AA74" s="54" t="n">
        <x:v>1036133.9895212502</x:v>
      </x:c>
      <x:c r="AB74" s="55" t="n">
        <x:v>0.65</x:v>
      </x:c>
      <x:c r="AC74" s="55" t="n">
        <x:v>0.62</x:v>
      </x:c>
      <x:c r="AD74" s="55" t="n">
        <x:v>0.29</x:v>
      </x:c>
      <x:c r="AE74" s="55" t="n">
        <x:v>0.28</x:v>
      </x:c>
      <x:c r="AF74" s="55" t="n">
        <x:v>1</x:v>
      </x:c>
      <x:c r="AG74" s="53" t="str">
        <x:v>NBS China Statistical Yearbook 2025, Table 12-15</x:v>
      </x:c>
      <x:c r="AH74" s="53" t="str">
        <x:v>calibrated reconstruction; not historical author input</x:v>
      </x:c>
    </x:row>
    <x:row r="75" ht="32" hidden="0" customHeight="1">
      <x:c r="A75" s="48" t="str">
        <x:v>x_r10_s1_m2</x:v>
      </x:c>
      <x:c r="B75" s="48" t="str">
        <x:v>r10</x:v>
      </x:c>
      <x:c r="C75" s="48" t="str">
        <x:v>CN-JS</x:v>
      </x:c>
      <x:c r="D75" s="48" t="str">
        <x:v>Jiangsu</x:v>
      </x:c>
      <x:c r="E75" s="48" t="str">
        <x:v>江苏</x:v>
      </x:c>
      <x:c r="F75" s="48" t="n">
        <x:v>1</x:v>
      </x:c>
      <x:c r="G75" s="48" t="str">
        <x:v>marine_capture</x:v>
      </x:c>
      <x:c r="H75" s="48" t="str">
        <x:v>海洋捕捞</x:v>
      </x:c>
      <x:c r="I75" s="48" t="n">
        <x:v>2</x:v>
      </x:c>
      <x:c r="J75" s="48" t="str">
        <x:v>deep_processing</x:v>
      </x:c>
      <x:c r="K75" s="48" t="str">
        <x:v>深加工</x:v>
      </x:c>
      <x:c r="L75" s="54" t="n">
        <x:v>458000</x:v>
      </x:c>
      <x:c r="M75" s="54" t="n">
        <x:v>442977.4506014271</x:v>
      </x:c>
      <x:c r="N75" s="55" t="n">
        <x:v>0.38</x:v>
      </x:c>
      <x:c r="O75" s="54" t="n">
        <x:v>168331.4312285423</x:v>
      </x:c>
      <x:c r="P75" s="54" t="n">
        <x:v>201997.71747425073</x:v>
      </x:c>
      <x:c r="Q75" s="55" t="n">
        <x:v>0.07285083248386001</x:v>
      </x:c>
      <x:c r="R75" s="55" t="n">
        <x:v>0.3823603532879962</x:v>
      </x:c>
      <x:c r="S75" s="55" t="n">
        <x:v>1.3413128721498766</x:v>
      </x:c>
      <x:c r="T75" s="55" t="n">
        <x:v>0.7455382116755391</x:v>
      </x:c>
      <x:c r="U75" s="55" t="n">
        <x:v>0.3315188418889674</x:v>
      </x:c>
      <x:c r="V75" s="55" t="n">
        <x:v>0.8839684053388615</x:v>
      </x:c>
      <x:c r="W75" s="55" t="n">
        <x:v>0.9275760927783111</x:v>
      </x:c>
      <x:c r="X75" s="55" t="n">
        <x:v>0.8717271721665065</x:v>
      </x:c>
      <x:c r="Y75" s="54" t="n">
        <x:v>820951.308725978</x:v>
      </x:c>
      <x:c r="Z75" s="54" t="n">
        <x:v>1991075.0515960047</x:v>
      </x:c>
      <x:c r="AA75" s="54" t="n">
        <x:v>1036133.9895212502</x:v>
      </x:c>
      <x:c r="AB75" s="55" t="n">
        <x:v>0.82</x:v>
      </x:c>
      <x:c r="AC75" s="55" t="n">
        <x:v>0.95</x:v>
      </x:c>
      <x:c r="AD75" s="55" t="n">
        <x:v>0.36</x:v>
      </x:c>
      <x:c r="AE75" s="55" t="n">
        <x:v>0.31</x:v>
      </x:c>
      <x:c r="AF75" s="55" t="n">
        <x:v>1</x:v>
      </x:c>
      <x:c r="AG75" s="53" t="str">
        <x:v>NBS China Statistical Yearbook 2025, Table 12-15</x:v>
      </x:c>
      <x:c r="AH75" s="53" t="str">
        <x:v>calibrated reconstruction; not historical author input</x:v>
      </x:c>
    </x:row>
    <x:row r="76" ht="32" hidden="0" customHeight="1">
      <x:c r="A76" s="48" t="str">
        <x:v>x_r10_s2_m1</x:v>
      </x:c>
      <x:c r="B76" s="48" t="str">
        <x:v>r10</x:v>
      </x:c>
      <x:c r="C76" s="48" t="str">
        <x:v>CN-JS</x:v>
      </x:c>
      <x:c r="D76" s="48" t="str">
        <x:v>Jiangsu</x:v>
      </x:c>
      <x:c r="E76" s="48" t="str">
        <x:v>江苏</x:v>
      </x:c>
      <x:c r="F76" s="48" t="n">
        <x:v>2</x:v>
      </x:c>
      <x:c r="G76" s="48" t="str">
        <x:v>freshwater_capture</x:v>
      </x:c>
      <x:c r="H76" s="48" t="str">
        <x:v>淡水捕捞</x:v>
      </x:c>
      <x:c r="I76" s="48" t="n">
        <x:v>1</x:v>
      </x:c>
      <x:c r="J76" s="48" t="str">
        <x:v>fresh_sales</x:v>
      </x:c>
      <x:c r="K76" s="48" t="str">
        <x:v>鲜销</x:v>
      </x:c>
      <x:c r="L76" s="54" t="n">
        <x:v>185000</x:v>
      </x:c>
      <x:c r="M76" s="54" t="n">
        <x:v>178931.93965341488</x:v>
      </x:c>
      <x:c r="N76" s="55" t="n">
        <x:v>0.67</x:v>
      </x:c>
      <x:c r="O76" s="54" t="n">
        <x:v>119884.39956778797</x:v>
      </x:c>
      <x:c r="P76" s="54" t="n">
        <x:v>143861.27948134555</x:v>
      </x:c>
      <x:c r="Q76" s="55" t="n">
        <x:v>0.07285083248386001</x:v>
      </x:c>
      <x:c r="R76" s="55" t="n">
        <x:v>0.3823603532879962</x:v>
      </x:c>
      <x:c r="S76" s="55" t="n">
        <x:v>1.3413128721498766</x:v>
      </x:c>
      <x:c r="T76" s="55" t="n">
        <x:v>0.7455382116755391</x:v>
      </x:c>
      <x:c r="U76" s="55" t="n">
        <x:v>0.3315188418889674</x:v>
      </x:c>
      <x:c r="V76" s="55" t="n">
        <x:v>0.8839684053388615</x:v>
      </x:c>
      <x:c r="W76" s="55" t="n">
        <x:v>0.9275760927783111</x:v>
      </x:c>
      <x:c r="X76" s="55" t="n">
        <x:v>0.8717271721665065</x:v>
      </x:c>
      <x:c r="Y76" s="54" t="n">
        <x:v>820951.308725978</x:v>
      </x:c>
      <x:c r="Z76" s="54" t="n">
        <x:v>1991075.0515960047</x:v>
      </x:c>
      <x:c r="AA76" s="54" t="n">
        <x:v>1036133.9895212502</x:v>
      </x:c>
      <x:c r="AB76" s="55" t="n">
        <x:v>0.7</x:v>
      </x:c>
      <x:c r="AC76" s="55" t="n">
        <x:v>0.67</x:v>
      </x:c>
      <x:c r="AD76" s="55" t="n">
        <x:v>0.26</x:v>
      </x:c>
      <x:c r="AE76" s="55" t="n">
        <x:v>0.42</x:v>
      </x:c>
      <x:c r="AF76" s="55" t="n">
        <x:v>0.7</x:v>
      </x:c>
      <x:c r="AG76" s="53" t="str">
        <x:v>NBS China Statistical Yearbook 2025, Table 12-15</x:v>
      </x:c>
      <x:c r="AH76" s="53" t="str">
        <x:v>calibrated reconstruction; not historical author input</x:v>
      </x:c>
    </x:row>
    <x:row r="77" ht="32" hidden="0" customHeight="1">
      <x:c r="A77" s="48" t="str">
        <x:v>x_r10_s2_m2</x:v>
      </x:c>
      <x:c r="B77" s="48" t="str">
        <x:v>r10</x:v>
      </x:c>
      <x:c r="C77" s="48" t="str">
        <x:v>CN-JS</x:v>
      </x:c>
      <x:c r="D77" s="48" t="str">
        <x:v>Jiangsu</x:v>
      </x:c>
      <x:c r="E77" s="48" t="str">
        <x:v>江苏</x:v>
      </x:c>
      <x:c r="F77" s="48" t="n">
        <x:v>2</x:v>
      </x:c>
      <x:c r="G77" s="48" t="str">
        <x:v>freshwater_capture</x:v>
      </x:c>
      <x:c r="H77" s="48" t="str">
        <x:v>淡水捕捞</x:v>
      </x:c>
      <x:c r="I77" s="48" t="n">
        <x:v>2</x:v>
      </x:c>
      <x:c r="J77" s="48" t="str">
        <x:v>deep_processing</x:v>
      </x:c>
      <x:c r="K77" s="48" t="str">
        <x:v>深加工</x:v>
      </x:c>
      <x:c r="L77" s="54" t="n">
        <x:v>185000</x:v>
      </x:c>
      <x:c r="M77" s="54" t="n">
        <x:v>178931.93965341488</x:v>
      </x:c>
      <x:c r="N77" s="55" t="n">
        <x:v>0.33</x:v>
      </x:c>
      <x:c r="O77" s="54" t="n">
        <x:v>59047.54008562691</x:v>
      </x:c>
      <x:c r="P77" s="54" t="n">
        <x:v>70857.04810275229</x:v>
      </x:c>
      <x:c r="Q77" s="55" t="n">
        <x:v>0.07285083248386001</x:v>
      </x:c>
      <x:c r="R77" s="55" t="n">
        <x:v>0.3823603532879962</x:v>
      </x:c>
      <x:c r="S77" s="55" t="n">
        <x:v>1.3413128721498766</x:v>
      </x:c>
      <x:c r="T77" s="55" t="n">
        <x:v>0.7455382116755391</x:v>
      </x:c>
      <x:c r="U77" s="55" t="n">
        <x:v>0.3315188418889674</x:v>
      </x:c>
      <x:c r="V77" s="55" t="n">
        <x:v>0.8839684053388615</x:v>
      </x:c>
      <x:c r="W77" s="55" t="n">
        <x:v>0.9275760927783111</x:v>
      </x:c>
      <x:c r="X77" s="55" t="n">
        <x:v>0.8717271721665065</x:v>
      </x:c>
      <x:c r="Y77" s="54" t="n">
        <x:v>820951.308725978</x:v>
      </x:c>
      <x:c r="Z77" s="54" t="n">
        <x:v>1991075.0515960047</x:v>
      </x:c>
      <x:c r="AA77" s="54" t="n">
        <x:v>1036133.9895212502</x:v>
      </x:c>
      <x:c r="AB77" s="55" t="n">
        <x:v>0.86</x:v>
      </x:c>
      <x:c r="AC77" s="55" t="n">
        <x:v>0.99</x:v>
      </x:c>
      <x:c r="AD77" s="55" t="n">
        <x:v>0.34</x:v>
      </x:c>
      <x:c r="AE77" s="55" t="n">
        <x:v>0.45</x:v>
      </x:c>
      <x:c r="AF77" s="55" t="n">
        <x:v>0.7</x:v>
      </x:c>
      <x:c r="AG77" s="53" t="str">
        <x:v>NBS China Statistical Yearbook 2025, Table 12-15</x:v>
      </x:c>
      <x:c r="AH77" s="53" t="str">
        <x:v>calibrated reconstruction; not historical author input</x:v>
      </x:c>
    </x:row>
    <x:row r="78" ht="32" hidden="0" customHeight="1">
      <x:c r="A78" s="48" t="str">
        <x:v>x_r10_s3_m1</x:v>
      </x:c>
      <x:c r="B78" s="48" t="str">
        <x:v>r10</x:v>
      </x:c>
      <x:c r="C78" s="48" t="str">
        <x:v>CN-JS</x:v>
      </x:c>
      <x:c r="D78" s="48" t="str">
        <x:v>Jiangsu</x:v>
      </x:c>
      <x:c r="E78" s="48" t="str">
        <x:v>江苏</x:v>
      </x:c>
      <x:c r="F78" s="48" t="n">
        <x:v>3</x:v>
      </x:c>
      <x:c r="G78" s="48" t="str">
        <x:v>marine_aquaculture</x:v>
      </x:c>
      <x:c r="H78" s="48" t="str">
        <x:v>海水养殖</x:v>
      </x:c>
      <x:c r="I78" s="48" t="n">
        <x:v>1</x:v>
      </x:c>
      <x:c r="J78" s="48" t="str">
        <x:v>fresh_sales</x:v>
      </x:c>
      <x:c r="K78" s="48" t="str">
        <x:v>鲜销</x:v>
      </x:c>
      <x:c r="L78" s="54" t="n">
        <x:v>1023000</x:v>
      </x:c>
      <x:c r="M78" s="54" t="n">
        <x:v>989445.2662996942</x:v>
      </x:c>
      <x:c r="N78" s="55" t="n">
        <x:v>0.74</x:v>
      </x:c>
      <x:c r="O78" s="54" t="n">
        <x:v>732189.4970617737</x:v>
      </x:c>
      <x:c r="P78" s="54" t="n">
        <x:v>878627.3964741284</x:v>
      </x:c>
      <x:c r="Q78" s="55" t="n">
        <x:v>0.07285083248386001</x:v>
      </x:c>
      <x:c r="R78" s="55" t="n">
        <x:v>0.3823603532879962</x:v>
      </x:c>
      <x:c r="S78" s="55" t="n">
        <x:v>1.3413128721498766</x:v>
      </x:c>
      <x:c r="T78" s="55" t="n">
        <x:v>0.7455382116755391</x:v>
      </x:c>
      <x:c r="U78" s="55" t="n">
        <x:v>0.3315188418889674</x:v>
      </x:c>
      <x:c r="V78" s="55" t="n">
        <x:v>0.8839684053388615</x:v>
      </x:c>
      <x:c r="W78" s="55" t="n">
        <x:v>0.9275760927783111</x:v>
      </x:c>
      <x:c r="X78" s="55" t="n">
        <x:v>0.8717271721665065</x:v>
      </x:c>
      <x:c r="Y78" s="54" t="n">
        <x:v>820951.308725978</x:v>
      </x:c>
      <x:c r="Z78" s="54" t="n">
        <x:v>1991075.0515960047</x:v>
      </x:c>
      <x:c r="AA78" s="54" t="n">
        <x:v>1036133.9895212502</x:v>
      </x:c>
      <x:c r="AB78" s="55" t="n">
        <x:v>0.84</x:v>
      </x:c>
      <x:c r="AC78" s="55" t="n">
        <x:v>0.8</x:v>
      </x:c>
      <x:c r="AD78" s="55" t="n">
        <x:v>0.33</x:v>
      </x:c>
      <x:c r="AE78" s="55" t="n">
        <x:v>0.78</x:v>
      </x:c>
      <x:c r="AF78" s="55" t="n">
        <x:v>0.11</x:v>
      </x:c>
      <x:c r="AG78" s="53" t="str">
        <x:v>NBS China Statistical Yearbook 2025, Table 12-15</x:v>
      </x:c>
      <x:c r="AH78" s="53" t="str">
        <x:v>calibrated reconstruction; not historical author input</x:v>
      </x:c>
    </x:row>
    <x:row r="79" ht="32" hidden="0" customHeight="1">
      <x:c r="A79" s="48" t="str">
        <x:v>x_r10_s3_m2</x:v>
      </x:c>
      <x:c r="B79" s="48" t="str">
        <x:v>r10</x:v>
      </x:c>
      <x:c r="C79" s="48" t="str">
        <x:v>CN-JS</x:v>
      </x:c>
      <x:c r="D79" s="48" t="str">
        <x:v>Jiangsu</x:v>
      </x:c>
      <x:c r="E79" s="48" t="str">
        <x:v>江苏</x:v>
      </x:c>
      <x:c r="F79" s="48" t="n">
        <x:v>3</x:v>
      </x:c>
      <x:c r="G79" s="48" t="str">
        <x:v>marine_aquaculture</x:v>
      </x:c>
      <x:c r="H79" s="48" t="str">
        <x:v>海水养殖</x:v>
      </x:c>
      <x:c r="I79" s="48" t="n">
        <x:v>2</x:v>
      </x:c>
      <x:c r="J79" s="48" t="str">
        <x:v>deep_processing</x:v>
      </x:c>
      <x:c r="K79" s="48" t="str">
        <x:v>深加工</x:v>
      </x:c>
      <x:c r="L79" s="54" t="n">
        <x:v>1023000</x:v>
      </x:c>
      <x:c r="M79" s="54" t="n">
        <x:v>989445.2662996942</x:v>
      </x:c>
      <x:c r="N79" s="55" t="n">
        <x:v>0.26</x:v>
      </x:c>
      <x:c r="O79" s="54" t="n">
        <x:v>257255.7692379205</x:v>
      </x:c>
      <x:c r="P79" s="54" t="n">
        <x:v>308706.92308550456</x:v>
      </x:c>
      <x:c r="Q79" s="55" t="n">
        <x:v>0.07285083248386001</x:v>
      </x:c>
      <x:c r="R79" s="55" t="n">
        <x:v>0.3823603532879962</x:v>
      </x:c>
      <x:c r="S79" s="55" t="n">
        <x:v>1.3413128721498766</x:v>
      </x:c>
      <x:c r="T79" s="55" t="n">
        <x:v>0.7455382116755391</x:v>
      </x:c>
      <x:c r="U79" s="55" t="n">
        <x:v>0.3315188418889674</x:v>
      </x:c>
      <x:c r="V79" s="55" t="n">
        <x:v>0.8839684053388615</x:v>
      </x:c>
      <x:c r="W79" s="55" t="n">
        <x:v>0.9275760927783111</x:v>
      </x:c>
      <x:c r="X79" s="55" t="n">
        <x:v>0.8717271721665065</x:v>
      </x:c>
      <x:c r="Y79" s="54" t="n">
        <x:v>820951.308725978</x:v>
      </x:c>
      <x:c r="Z79" s="54" t="n">
        <x:v>1991075.0515960047</x:v>
      </x:c>
      <x:c r="AA79" s="54" t="n">
        <x:v>1036133.9895212502</x:v>
      </x:c>
      <x:c r="AB79" s="55" t="n">
        <x:v>1.02</x:v>
      </x:c>
      <x:c r="AC79" s="55" t="n">
        <x:v>1.16</x:v>
      </x:c>
      <x:c r="AD79" s="55" t="n">
        <x:v>0.41</x:v>
      </x:c>
      <x:c r="AE79" s="55" t="n">
        <x:v>0.81</x:v>
      </x:c>
      <x:c r="AF79" s="55" t="n">
        <x:v>0.11</x:v>
      </x:c>
      <x:c r="AG79" s="53" t="str">
        <x:v>NBS China Statistical Yearbook 2025, Table 12-15</x:v>
      </x:c>
      <x:c r="AH79" s="53" t="str">
        <x:v>calibrated reconstruction; not historical author input</x:v>
      </x:c>
    </x:row>
    <x:row r="80" ht="32" hidden="0" customHeight="1">
      <x:c r="A80" s="48" t="str">
        <x:v>x_r10_s4_m1</x:v>
      </x:c>
      <x:c r="B80" s="48" t="str">
        <x:v>r10</x:v>
      </x:c>
      <x:c r="C80" s="48" t="str">
        <x:v>CN-JS</x:v>
      </x:c>
      <x:c r="D80" s="48" t="str">
        <x:v>Jiangsu</x:v>
      </x:c>
      <x:c r="E80" s="48" t="str">
        <x:v>江苏</x:v>
      </x:c>
      <x:c r="F80" s="48" t="n">
        <x:v>4</x:v>
      </x:c>
      <x:c r="G80" s="48" t="str">
        <x:v>freshwater_aquaculture</x:v>
      </x:c>
      <x:c r="H80" s="48" t="str">
        <x:v>淡水养殖</x:v>
      </x:c>
      <x:c r="I80" s="48" t="n">
        <x:v>1</x:v>
      </x:c>
      <x:c r="J80" s="48" t="str">
        <x:v>fresh_sales</x:v>
      </x:c>
      <x:c r="K80" s="48" t="str">
        <x:v>鲜销</x:v>
      </x:c>
      <x:c r="L80" s="54" t="n">
        <x:v>3694000</x:v>
      </x:c>
      <x:c r="M80" s="54" t="n">
        <x:v>3572835.595025484</x:v>
      </x:c>
      <x:c r="N80" s="55" t="n">
        <x:v>0.78</x:v>
      </x:c>
      <x:c r="O80" s="54" t="n">
        <x:v>2786811.7641198775</x:v>
      </x:c>
      <x:c r="P80" s="54" t="n">
        <x:v>3344174.116943853</x:v>
      </x:c>
      <x:c r="Q80" s="55" t="n">
        <x:v>0.07285083248386001</x:v>
      </x:c>
      <x:c r="R80" s="55" t="n">
        <x:v>0.3823603532879962</x:v>
      </x:c>
      <x:c r="S80" s="55" t="n">
        <x:v>1.3413128721498766</x:v>
      </x:c>
      <x:c r="T80" s="55" t="n">
        <x:v>0.7455382116755391</x:v>
      </x:c>
      <x:c r="U80" s="55" t="n">
        <x:v>0.3315188418889674</x:v>
      </x:c>
      <x:c r="V80" s="55" t="n">
        <x:v>0.8839684053388615</x:v>
      </x:c>
      <x:c r="W80" s="55" t="n">
        <x:v>0.9275760927783111</x:v>
      </x:c>
      <x:c r="X80" s="55" t="n">
        <x:v>0.8717271721665065</x:v>
      </x:c>
      <x:c r="Y80" s="54" t="n">
        <x:v>820951.308725978</x:v>
      </x:c>
      <x:c r="Z80" s="54" t="n">
        <x:v>1991075.0515960047</x:v>
      </x:c>
      <x:c r="AA80" s="54" t="n">
        <x:v>1036133.9895212502</x:v>
      </x:c>
      <x:c r="AB80" s="55" t="n">
        <x:v>0.88</x:v>
      </x:c>
      <x:c r="AC80" s="55" t="n">
        <x:v>0.84</x:v>
      </x:c>
      <x:c r="AD80" s="55" t="n">
        <x:v>0.31</x:v>
      </x:c>
      <x:c r="AE80" s="55" t="n">
        <x:v>0.88</x:v>
      </x:c>
      <x:c r="AF80" s="55" t="n">
        <x:v>0.08</x:v>
      </x:c>
      <x:c r="AG80" s="53" t="str">
        <x:v>NBS China Statistical Yearbook 2025, Table 12-15</x:v>
      </x:c>
      <x:c r="AH80" s="53" t="str">
        <x:v>calibrated reconstruction; not historical author input</x:v>
      </x:c>
    </x:row>
    <x:row r="81" ht="32" hidden="0" customHeight="1">
      <x:c r="A81" s="48" t="str">
        <x:v>x_r10_s4_m2</x:v>
      </x:c>
      <x:c r="B81" s="48" t="str">
        <x:v>r10</x:v>
      </x:c>
      <x:c r="C81" s="48" t="str">
        <x:v>CN-JS</x:v>
      </x:c>
      <x:c r="D81" s="48" t="str">
        <x:v>Jiangsu</x:v>
      </x:c>
      <x:c r="E81" s="48" t="str">
        <x:v>江苏</x:v>
      </x:c>
      <x:c r="F81" s="48" t="n">
        <x:v>4</x:v>
      </x:c>
      <x:c r="G81" s="48" t="str">
        <x:v>freshwater_aquaculture</x:v>
      </x:c>
      <x:c r="H81" s="48" t="str">
        <x:v>淡水养殖</x:v>
      </x:c>
      <x:c r="I81" s="48" t="n">
        <x:v>2</x:v>
      </x:c>
      <x:c r="J81" s="48" t="str">
        <x:v>deep_processing</x:v>
      </x:c>
      <x:c r="K81" s="48" t="str">
        <x:v>深加工</x:v>
      </x:c>
      <x:c r="L81" s="54" t="n">
        <x:v>3694000</x:v>
      </x:c>
      <x:c r="M81" s="54" t="n">
        <x:v>3572835.595025484</x:v>
      </x:c>
      <x:c r="N81" s="55" t="n">
        <x:v>0.22</x:v>
      </x:c>
      <x:c r="O81" s="54" t="n">
        <x:v>786023.8309056065</x:v>
      </x:c>
      <x:c r="P81" s="54" t="n">
        <x:v>943228.5970867277</x:v>
      </x:c>
      <x:c r="Q81" s="55" t="n">
        <x:v>0.07285083248386001</x:v>
      </x:c>
      <x:c r="R81" s="55" t="n">
        <x:v>0.3823603532879962</x:v>
      </x:c>
      <x:c r="S81" s="55" t="n">
        <x:v>1.3413128721498766</x:v>
      </x:c>
      <x:c r="T81" s="55" t="n">
        <x:v>0.7455382116755391</x:v>
      </x:c>
      <x:c r="U81" s="55" t="n">
        <x:v>0.3315188418889674</x:v>
      </x:c>
      <x:c r="V81" s="55" t="n">
        <x:v>0.8839684053388615</x:v>
      </x:c>
      <x:c r="W81" s="55" t="n">
        <x:v>0.9275760927783111</x:v>
      </x:c>
      <x:c r="X81" s="55" t="n">
        <x:v>0.8717271721665065</x:v>
      </x:c>
      <x:c r="Y81" s="54" t="n">
        <x:v>820951.308725978</x:v>
      </x:c>
      <x:c r="Z81" s="54" t="n">
        <x:v>1991075.0515960047</x:v>
      </x:c>
      <x:c r="AA81" s="54" t="n">
        <x:v>1036133.9895212502</x:v>
      </x:c>
      <x:c r="AB81" s="55" t="n">
        <x:v>1.06</x:v>
      </x:c>
      <x:c r="AC81" s="55" t="n">
        <x:v>1.2</x:v>
      </x:c>
      <x:c r="AD81" s="55" t="n">
        <x:v>0.39</x:v>
      </x:c>
      <x:c r="AE81" s="55" t="n">
        <x:v>0.91</x:v>
      </x:c>
      <x:c r="AF81" s="55" t="n">
        <x:v>0.08</x:v>
      </x:c>
      <x:c r="AG81" s="53" t="str">
        <x:v>NBS China Statistical Yearbook 2025, Table 12-15</x:v>
      </x:c>
      <x:c r="AH81" s="53" t="str">
        <x:v>calibrated reconstruction; not historical author input</x:v>
      </x:c>
    </x:row>
    <x:row r="82" ht="32" hidden="0" customHeight="1">
      <x:c r="A82" s="48" t="str">
        <x:v>x_r11_s1_m1</x:v>
      </x:c>
      <x:c r="B82" s="48" t="str">
        <x:v>r11</x:v>
      </x:c>
      <x:c r="C82" s="48" t="str">
        <x:v>CN-ZJ</x:v>
      </x:c>
      <x:c r="D82" s="48" t="str">
        <x:v>Zhejiang</x:v>
      </x:c>
      <x:c r="E82" s="48" t="str">
        <x:v>浙江</x:v>
      </x:c>
      <x:c r="F82" s="48" t="n">
        <x:v>1</x:v>
      </x:c>
      <x:c r="G82" s="48" t="str">
        <x:v>marine_capture</x:v>
      </x:c>
      <x:c r="H82" s="48" t="str">
        <x:v>海洋捕捞</x:v>
      </x:c>
      <x:c r="I82" s="48" t="n">
        <x:v>1</x:v>
      </x:c>
      <x:c r="J82" s="48" t="str">
        <x:v>fresh_sales</x:v>
      </x:c>
      <x:c r="K82" s="48" t="str">
        <x:v>鲜销</x:v>
      </x:c>
      <x:c r="L82" s="54" t="n">
        <x:v>3163000</x:v>
      </x:c>
      <x:c r="M82" s="54" t="n">
        <x:v>3059252.5682364935</x:v>
      </x:c>
      <x:c r="N82" s="55" t="n">
        <x:v>0.62</x:v>
      </x:c>
      <x:c r="O82" s="54" t="n">
        <x:v>1896736.592306626</x:v>
      </x:c>
      <x:c r="P82" s="54" t="n">
        <x:v>2276083.910767951</x:v>
      </x:c>
      <x:c r="Q82" s="55" t="n">
        <x:v>0.08829085966700646</x:v>
      </x:c>
      <x:c r="R82" s="55" t="n">
        <x:v>0.4719301192879361</x:v>
      </x:c>
      <x:c r="S82" s="55" t="n">
        <x:v>1.45</x:v>
      </x:c>
      <x:c r="T82" s="55" t="n">
        <x:v>0.65</x:v>
      </x:c>
      <x:c r="U82" s="55" t="n">
        <x:v>0.18317222278641038</x:v>
      </x:c>
      <x:c r="V82" s="55" t="n">
        <x:v>0.9358897220247564</x:v>
      </x:c>
      <x:c r="W82" s="55" t="n">
        <x:v>0.9609592893964504</x:v>
      </x:c>
      <x:c r="X82" s="55" t="n">
        <x:v>0.8617122131810648</x:v>
      </x:c>
      <x:c r="Y82" s="54" t="n">
        <x:v>918349.4481538428</x:v>
      </x:c>
      <x:c r="Z82" s="54" t="n">
        <x:v>2459207.828888912</x:v>
      </x:c>
      <x:c r="AA82" s="54" t="n">
        <x:v>4161368.8703187164</x:v>
      </x:c>
      <x:c r="AB82" s="55" t="n">
        <x:v>0.65</x:v>
      </x:c>
      <x:c r="AC82" s="55" t="n">
        <x:v>0.62</x:v>
      </x:c>
      <x:c r="AD82" s="55" t="n">
        <x:v>0.29</x:v>
      </x:c>
      <x:c r="AE82" s="55" t="n">
        <x:v>0.28</x:v>
      </x:c>
      <x:c r="AF82" s="55" t="n">
        <x:v>1</x:v>
      </x:c>
      <x:c r="AG82" s="53" t="str">
        <x:v>NBS China Statistical Yearbook 2025, Table 12-15</x:v>
      </x:c>
      <x:c r="AH82" s="53" t="str">
        <x:v>calibrated reconstruction; not historical author input</x:v>
      </x:c>
    </x:row>
    <x:row r="83" ht="32" hidden="0" customHeight="1">
      <x:c r="A83" s="48" t="str">
        <x:v>x_r11_s1_m2</x:v>
      </x:c>
      <x:c r="B83" s="48" t="str">
        <x:v>r11</x:v>
      </x:c>
      <x:c r="C83" s="48" t="str">
        <x:v>CN-ZJ</x:v>
      </x:c>
      <x:c r="D83" s="48" t="str">
        <x:v>Zhejiang</x:v>
      </x:c>
      <x:c r="E83" s="48" t="str">
        <x:v>浙江</x:v>
      </x:c>
      <x:c r="F83" s="48" t="n">
        <x:v>1</x:v>
      </x:c>
      <x:c r="G83" s="48" t="str">
        <x:v>marine_capture</x:v>
      </x:c>
      <x:c r="H83" s="48" t="str">
        <x:v>海洋捕捞</x:v>
      </x:c>
      <x:c r="I83" s="48" t="n">
        <x:v>2</x:v>
      </x:c>
      <x:c r="J83" s="48" t="str">
        <x:v>deep_processing</x:v>
      </x:c>
      <x:c r="K83" s="48" t="str">
        <x:v>深加工</x:v>
      </x:c>
      <x:c r="L83" s="54" t="n">
        <x:v>3163000</x:v>
      </x:c>
      <x:c r="M83" s="54" t="n">
        <x:v>3059252.5682364935</x:v>
      </x:c>
      <x:c r="N83" s="55" t="n">
        <x:v>0.38</x:v>
      </x:c>
      <x:c r="O83" s="54" t="n">
        <x:v>1162515.9759298675</x:v>
      </x:c>
      <x:c r="P83" s="54" t="n">
        <x:v>1395019.171115841</x:v>
      </x:c>
      <x:c r="Q83" s="55" t="n">
        <x:v>0.08829085966700646</x:v>
      </x:c>
      <x:c r="R83" s="55" t="n">
        <x:v>0.4719301192879361</x:v>
      </x:c>
      <x:c r="S83" s="55" t="n">
        <x:v>1.45</x:v>
      </x:c>
      <x:c r="T83" s="55" t="n">
        <x:v>0.65</x:v>
      </x:c>
      <x:c r="U83" s="55" t="n">
        <x:v>0.18317222278641038</x:v>
      </x:c>
      <x:c r="V83" s="55" t="n">
        <x:v>0.9358897220247564</x:v>
      </x:c>
      <x:c r="W83" s="55" t="n">
        <x:v>0.9609592893964504</x:v>
      </x:c>
      <x:c r="X83" s="55" t="n">
        <x:v>0.8617122131810648</x:v>
      </x:c>
      <x:c r="Y83" s="54" t="n">
        <x:v>918349.4481538428</x:v>
      </x:c>
      <x:c r="Z83" s="54" t="n">
        <x:v>2459207.828888912</x:v>
      </x:c>
      <x:c r="AA83" s="54" t="n">
        <x:v>4161368.8703187164</x:v>
      </x:c>
      <x:c r="AB83" s="55" t="n">
        <x:v>0.82</x:v>
      </x:c>
      <x:c r="AC83" s="55" t="n">
        <x:v>0.95</x:v>
      </x:c>
      <x:c r="AD83" s="55" t="n">
        <x:v>0.36</x:v>
      </x:c>
      <x:c r="AE83" s="55" t="n">
        <x:v>0.31</x:v>
      </x:c>
      <x:c r="AF83" s="55" t="n">
        <x:v>1</x:v>
      </x:c>
      <x:c r="AG83" s="53" t="str">
        <x:v>NBS China Statistical Yearbook 2025, Table 12-15</x:v>
      </x:c>
      <x:c r="AH83" s="53" t="str">
        <x:v>calibrated reconstruction; not historical author input</x:v>
      </x:c>
    </x:row>
    <x:row r="84" ht="32" hidden="0" customHeight="1">
      <x:c r="A84" s="48" t="str">
        <x:v>x_r11_s2_m1</x:v>
      </x:c>
      <x:c r="B84" s="48" t="str">
        <x:v>r11</x:v>
      </x:c>
      <x:c r="C84" s="48" t="str">
        <x:v>CN-ZJ</x:v>
      </x:c>
      <x:c r="D84" s="48" t="str">
        <x:v>Zhejiang</x:v>
      </x:c>
      <x:c r="E84" s="48" t="str">
        <x:v>浙江</x:v>
      </x:c>
      <x:c r="F84" s="48" t="n">
        <x:v>2</x:v>
      </x:c>
      <x:c r="G84" s="48" t="str">
        <x:v>freshwater_capture</x:v>
      </x:c>
      <x:c r="H84" s="48" t="str">
        <x:v>淡水捕捞</x:v>
      </x:c>
      <x:c r="I84" s="48" t="n">
        <x:v>1</x:v>
      </x:c>
      <x:c r="J84" s="48" t="str">
        <x:v>fresh_sales</x:v>
      </x:c>
      <x:c r="K84" s="48" t="str">
        <x:v>鲜销</x:v>
      </x:c>
      <x:c r="L84" s="54" t="n">
        <x:v>171000</x:v>
      </x:c>
      <x:c r="M84" s="54" t="n">
        <x:v>165391.1442201835</x:v>
      </x:c>
      <x:c r="N84" s="55" t="n">
        <x:v>0.67</x:v>
      </x:c>
      <x:c r="O84" s="54" t="n">
        <x:v>110812.06662752295</x:v>
      </x:c>
      <x:c r="P84" s="54" t="n">
        <x:v>132974.47995302753</x:v>
      </x:c>
      <x:c r="Q84" s="55" t="n">
        <x:v>0.08829085966700646</x:v>
      </x:c>
      <x:c r="R84" s="55" t="n">
        <x:v>0.4719301192879361</x:v>
      </x:c>
      <x:c r="S84" s="55" t="n">
        <x:v>1.45</x:v>
      </x:c>
      <x:c r="T84" s="55" t="n">
        <x:v>0.65</x:v>
      </x:c>
      <x:c r="U84" s="55" t="n">
        <x:v>0.18317222278641038</x:v>
      </x:c>
      <x:c r="V84" s="55" t="n">
        <x:v>0.9358897220247564</x:v>
      </x:c>
      <x:c r="W84" s="55" t="n">
        <x:v>0.9609592893964504</x:v>
      </x:c>
      <x:c r="X84" s="55" t="n">
        <x:v>0.8617122131810648</x:v>
      </x:c>
      <x:c r="Y84" s="54" t="n">
        <x:v>918349.4481538428</x:v>
      </x:c>
      <x:c r="Z84" s="54" t="n">
        <x:v>2459207.828888912</x:v>
      </x:c>
      <x:c r="AA84" s="54" t="n">
        <x:v>4161368.8703187164</x:v>
      </x:c>
      <x:c r="AB84" s="55" t="n">
        <x:v>0.7</x:v>
      </x:c>
      <x:c r="AC84" s="55" t="n">
        <x:v>0.67</x:v>
      </x:c>
      <x:c r="AD84" s="55" t="n">
        <x:v>0.26</x:v>
      </x:c>
      <x:c r="AE84" s="55" t="n">
        <x:v>0.42</x:v>
      </x:c>
      <x:c r="AF84" s="55" t="n">
        <x:v>0.7</x:v>
      </x:c>
      <x:c r="AG84" s="53" t="str">
        <x:v>NBS China Statistical Yearbook 2025, Table 12-15</x:v>
      </x:c>
      <x:c r="AH84" s="53" t="str">
        <x:v>calibrated reconstruction; not historical author input</x:v>
      </x:c>
    </x:row>
    <x:row r="85" ht="32" hidden="0" customHeight="1">
      <x:c r="A85" s="48" t="str">
        <x:v>x_r11_s2_m2</x:v>
      </x:c>
      <x:c r="B85" s="48" t="str">
        <x:v>r11</x:v>
      </x:c>
      <x:c r="C85" s="48" t="str">
        <x:v>CN-ZJ</x:v>
      </x:c>
      <x:c r="D85" s="48" t="str">
        <x:v>Zhejiang</x:v>
      </x:c>
      <x:c r="E85" s="48" t="str">
        <x:v>浙江</x:v>
      </x:c>
      <x:c r="F85" s="48" t="n">
        <x:v>2</x:v>
      </x:c>
      <x:c r="G85" s="48" t="str">
        <x:v>freshwater_capture</x:v>
      </x:c>
      <x:c r="H85" s="48" t="str">
        <x:v>淡水捕捞</x:v>
      </x:c>
      <x:c r="I85" s="48" t="n">
        <x:v>2</x:v>
      </x:c>
      <x:c r="J85" s="48" t="str">
        <x:v>deep_processing</x:v>
      </x:c>
      <x:c r="K85" s="48" t="str">
        <x:v>深加工</x:v>
      </x:c>
      <x:c r="L85" s="54" t="n">
        <x:v>171000</x:v>
      </x:c>
      <x:c r="M85" s="54" t="n">
        <x:v>165391.1442201835</x:v>
      </x:c>
      <x:c r="N85" s="55" t="n">
        <x:v>0.33</x:v>
      </x:c>
      <x:c r="O85" s="54" t="n">
        <x:v>54579.07759266056</x:v>
      </x:c>
      <x:c r="P85" s="54" t="n">
        <x:v>65494.893111192665</x:v>
      </x:c>
      <x:c r="Q85" s="55" t="n">
        <x:v>0.08829085966700646</x:v>
      </x:c>
      <x:c r="R85" s="55" t="n">
        <x:v>0.4719301192879361</x:v>
      </x:c>
      <x:c r="S85" s="55" t="n">
        <x:v>1.45</x:v>
      </x:c>
      <x:c r="T85" s="55" t="n">
        <x:v>0.65</x:v>
      </x:c>
      <x:c r="U85" s="55" t="n">
        <x:v>0.18317222278641038</x:v>
      </x:c>
      <x:c r="V85" s="55" t="n">
        <x:v>0.9358897220247564</x:v>
      </x:c>
      <x:c r="W85" s="55" t="n">
        <x:v>0.9609592893964504</x:v>
      </x:c>
      <x:c r="X85" s="55" t="n">
        <x:v>0.8617122131810648</x:v>
      </x:c>
      <x:c r="Y85" s="54" t="n">
        <x:v>918349.4481538428</x:v>
      </x:c>
      <x:c r="Z85" s="54" t="n">
        <x:v>2459207.828888912</x:v>
      </x:c>
      <x:c r="AA85" s="54" t="n">
        <x:v>4161368.8703187164</x:v>
      </x:c>
      <x:c r="AB85" s="55" t="n">
        <x:v>0.86</x:v>
      </x:c>
      <x:c r="AC85" s="55" t="n">
        <x:v>0.99</x:v>
      </x:c>
      <x:c r="AD85" s="55" t="n">
        <x:v>0.34</x:v>
      </x:c>
      <x:c r="AE85" s="55" t="n">
        <x:v>0.45</x:v>
      </x:c>
      <x:c r="AF85" s="55" t="n">
        <x:v>0.7</x:v>
      </x:c>
      <x:c r="AG85" s="53" t="str">
        <x:v>NBS China Statistical Yearbook 2025, Table 12-15</x:v>
      </x:c>
      <x:c r="AH85" s="53" t="str">
        <x:v>calibrated reconstruction; not historical author input</x:v>
      </x:c>
    </x:row>
    <x:row r="86" ht="32" hidden="0" customHeight="1">
      <x:c r="A86" s="48" t="str">
        <x:v>x_r11_s3_m1</x:v>
      </x:c>
      <x:c r="B86" s="48" t="str">
        <x:v>r11</x:v>
      </x:c>
      <x:c r="C86" s="48" t="str">
        <x:v>CN-ZJ</x:v>
      </x:c>
      <x:c r="D86" s="48" t="str">
        <x:v>Zhejiang</x:v>
      </x:c>
      <x:c r="E86" s="48" t="str">
        <x:v>浙江</x:v>
      </x:c>
      <x:c r="F86" s="48" t="n">
        <x:v>3</x:v>
      </x:c>
      <x:c r="G86" s="48" t="str">
        <x:v>marine_aquaculture</x:v>
      </x:c>
      <x:c r="H86" s="48" t="str">
        <x:v>海水养殖</x:v>
      </x:c>
      <x:c r="I86" s="48" t="n">
        <x:v>1</x:v>
      </x:c>
      <x:c r="J86" s="48" t="str">
        <x:v>fresh_sales</x:v>
      </x:c>
      <x:c r="K86" s="48" t="str">
        <x:v>鲜销</x:v>
      </x:c>
      <x:c r="L86" s="54" t="n">
        <x:v>1722000</x:v>
      </x:c>
      <x:c r="M86" s="54" t="n">
        <x:v>1665517.8382874618</x:v>
      </x:c>
      <x:c r="N86" s="55" t="n">
        <x:v>0.74</x:v>
      </x:c>
      <x:c r="O86" s="54" t="n">
        <x:v>1232483.2003327217</x:v>
      </x:c>
      <x:c r="P86" s="54" t="n">
        <x:v>1478979.840399266</x:v>
      </x:c>
      <x:c r="Q86" s="55" t="n">
        <x:v>0.08829085966700646</x:v>
      </x:c>
      <x:c r="R86" s="55" t="n">
        <x:v>0.4719301192879361</x:v>
      </x:c>
      <x:c r="S86" s="55" t="n">
        <x:v>1.45</x:v>
      </x:c>
      <x:c r="T86" s="55" t="n">
        <x:v>0.65</x:v>
      </x:c>
      <x:c r="U86" s="55" t="n">
        <x:v>0.18317222278641038</x:v>
      </x:c>
      <x:c r="V86" s="55" t="n">
        <x:v>0.9358897220247564</x:v>
      </x:c>
      <x:c r="W86" s="55" t="n">
        <x:v>0.9609592893964504</x:v>
      </x:c>
      <x:c r="X86" s="55" t="n">
        <x:v>0.8617122131810648</x:v>
      </x:c>
      <x:c r="Y86" s="54" t="n">
        <x:v>918349.4481538428</x:v>
      </x:c>
      <x:c r="Z86" s="54" t="n">
        <x:v>2459207.828888912</x:v>
      </x:c>
      <x:c r="AA86" s="54" t="n">
        <x:v>4161368.8703187164</x:v>
      </x:c>
      <x:c r="AB86" s="55" t="n">
        <x:v>0.84</x:v>
      </x:c>
      <x:c r="AC86" s="55" t="n">
        <x:v>0.8</x:v>
      </x:c>
      <x:c r="AD86" s="55" t="n">
        <x:v>0.33</x:v>
      </x:c>
      <x:c r="AE86" s="55" t="n">
        <x:v>0.78</x:v>
      </x:c>
      <x:c r="AF86" s="55" t="n">
        <x:v>0.11</x:v>
      </x:c>
      <x:c r="AG86" s="53" t="str">
        <x:v>NBS China Statistical Yearbook 2025, Table 12-15</x:v>
      </x:c>
      <x:c r="AH86" s="53" t="str">
        <x:v>calibrated reconstruction; not historical author input</x:v>
      </x:c>
    </x:row>
    <x:row r="87" ht="32" hidden="0" customHeight="1">
      <x:c r="A87" s="48" t="str">
        <x:v>x_r11_s3_m2</x:v>
      </x:c>
      <x:c r="B87" s="48" t="str">
        <x:v>r11</x:v>
      </x:c>
      <x:c r="C87" s="48" t="str">
        <x:v>CN-ZJ</x:v>
      </x:c>
      <x:c r="D87" s="48" t="str">
        <x:v>Zhejiang</x:v>
      </x:c>
      <x:c r="E87" s="48" t="str">
        <x:v>浙江</x:v>
      </x:c>
      <x:c r="F87" s="48" t="n">
        <x:v>3</x:v>
      </x:c>
      <x:c r="G87" s="48" t="str">
        <x:v>marine_aquaculture</x:v>
      </x:c>
      <x:c r="H87" s="48" t="str">
        <x:v>海水养殖</x:v>
      </x:c>
      <x:c r="I87" s="48" t="n">
        <x:v>2</x:v>
      </x:c>
      <x:c r="J87" s="48" t="str">
        <x:v>deep_processing</x:v>
      </x:c>
      <x:c r="K87" s="48" t="str">
        <x:v>深加工</x:v>
      </x:c>
      <x:c r="L87" s="54" t="n">
        <x:v>1722000</x:v>
      </x:c>
      <x:c r="M87" s="54" t="n">
        <x:v>1665517.8382874618</x:v>
      </x:c>
      <x:c r="N87" s="55" t="n">
        <x:v>0.26</x:v>
      </x:c>
      <x:c r="O87" s="54" t="n">
        <x:v>433034.6379547401</x:v>
      </x:c>
      <x:c r="P87" s="54" t="n">
        <x:v>519641.5655456881</x:v>
      </x:c>
      <x:c r="Q87" s="55" t="n">
        <x:v>0.08829085966700646</x:v>
      </x:c>
      <x:c r="R87" s="55" t="n">
        <x:v>0.4719301192879361</x:v>
      </x:c>
      <x:c r="S87" s="55" t="n">
        <x:v>1.45</x:v>
      </x:c>
      <x:c r="T87" s="55" t="n">
        <x:v>0.65</x:v>
      </x:c>
      <x:c r="U87" s="55" t="n">
        <x:v>0.18317222278641038</x:v>
      </x:c>
      <x:c r="V87" s="55" t="n">
        <x:v>0.9358897220247564</x:v>
      </x:c>
      <x:c r="W87" s="55" t="n">
        <x:v>0.9609592893964504</x:v>
      </x:c>
      <x:c r="X87" s="55" t="n">
        <x:v>0.8617122131810648</x:v>
      </x:c>
      <x:c r="Y87" s="54" t="n">
        <x:v>918349.4481538428</x:v>
      </x:c>
      <x:c r="Z87" s="54" t="n">
        <x:v>2459207.828888912</x:v>
      </x:c>
      <x:c r="AA87" s="54" t="n">
        <x:v>4161368.8703187164</x:v>
      </x:c>
      <x:c r="AB87" s="55" t="n">
        <x:v>1.02</x:v>
      </x:c>
      <x:c r="AC87" s="55" t="n">
        <x:v>1.16</x:v>
      </x:c>
      <x:c r="AD87" s="55" t="n">
        <x:v>0.41</x:v>
      </x:c>
      <x:c r="AE87" s="55" t="n">
        <x:v>0.81</x:v>
      </x:c>
      <x:c r="AF87" s="55" t="n">
        <x:v>0.11</x:v>
      </x:c>
      <x:c r="AG87" s="53" t="str">
        <x:v>NBS China Statistical Yearbook 2025, Table 12-15</x:v>
      </x:c>
      <x:c r="AH87" s="53" t="str">
        <x:v>calibrated reconstruction; not historical author input</x:v>
      </x:c>
    </x:row>
    <x:row r="88" ht="32" hidden="0" customHeight="1">
      <x:c r="A88" s="48" t="str">
        <x:v>x_r11_s4_m1</x:v>
      </x:c>
      <x:c r="B88" s="48" t="str">
        <x:v>r11</x:v>
      </x:c>
      <x:c r="C88" s="48" t="str">
        <x:v>CN-ZJ</x:v>
      </x:c>
      <x:c r="D88" s="48" t="str">
        <x:v>Zhejiang</x:v>
      </x:c>
      <x:c r="E88" s="48" t="str">
        <x:v>浙江</x:v>
      </x:c>
      <x:c r="F88" s="48" t="n">
        <x:v>4</x:v>
      </x:c>
      <x:c r="G88" s="48" t="str">
        <x:v>freshwater_aquaculture</x:v>
      </x:c>
      <x:c r="H88" s="48" t="str">
        <x:v>淡水养殖</x:v>
      </x:c>
      <x:c r="I88" s="48" t="n">
        <x:v>1</x:v>
      </x:c>
      <x:c r="J88" s="48" t="str">
        <x:v>fresh_sales</x:v>
      </x:c>
      <x:c r="K88" s="48" t="str">
        <x:v>鲜销</x:v>
      </x:c>
      <x:c r="L88" s="54" t="n">
        <x:v>1440000</x:v>
      </x:c>
      <x:c r="M88" s="54" t="n">
        <x:v>1392767.5302752294</x:v>
      </x:c>
      <x:c r="N88" s="55" t="n">
        <x:v>0.78</x:v>
      </x:c>
      <x:c r="O88" s="54" t="n">
        <x:v>1086358.673614679</x:v>
      </x:c>
      <x:c r="P88" s="54" t="n">
        <x:v>1303630.4083376147</x:v>
      </x:c>
      <x:c r="Q88" s="55" t="n">
        <x:v>0.08829085966700646</x:v>
      </x:c>
      <x:c r="R88" s="55" t="n">
        <x:v>0.4719301192879361</x:v>
      </x:c>
      <x:c r="S88" s="55" t="n">
        <x:v>1.45</x:v>
      </x:c>
      <x:c r="T88" s="55" t="n">
        <x:v>0.65</x:v>
      </x:c>
      <x:c r="U88" s="55" t="n">
        <x:v>0.18317222278641038</x:v>
      </x:c>
      <x:c r="V88" s="55" t="n">
        <x:v>0.9358897220247564</x:v>
      </x:c>
      <x:c r="W88" s="55" t="n">
        <x:v>0.9609592893964504</x:v>
      </x:c>
      <x:c r="X88" s="55" t="n">
        <x:v>0.8617122131810648</x:v>
      </x:c>
      <x:c r="Y88" s="54" t="n">
        <x:v>918349.4481538428</x:v>
      </x:c>
      <x:c r="Z88" s="54" t="n">
        <x:v>2459207.828888912</x:v>
      </x:c>
      <x:c r="AA88" s="54" t="n">
        <x:v>4161368.8703187164</x:v>
      </x:c>
      <x:c r="AB88" s="55" t="n">
        <x:v>0.88</x:v>
      </x:c>
      <x:c r="AC88" s="55" t="n">
        <x:v>0.84</x:v>
      </x:c>
      <x:c r="AD88" s="55" t="n">
        <x:v>0.31</x:v>
      </x:c>
      <x:c r="AE88" s="55" t="n">
        <x:v>0.88</x:v>
      </x:c>
      <x:c r="AF88" s="55" t="n">
        <x:v>0.08</x:v>
      </x:c>
      <x:c r="AG88" s="53" t="str">
        <x:v>NBS China Statistical Yearbook 2025, Table 12-15</x:v>
      </x:c>
      <x:c r="AH88" s="53" t="str">
        <x:v>calibrated reconstruction; not historical author input</x:v>
      </x:c>
    </x:row>
    <x:row r="89" ht="32" hidden="0" customHeight="1">
      <x:c r="A89" s="48" t="str">
        <x:v>x_r11_s4_m2</x:v>
      </x:c>
      <x:c r="B89" s="48" t="str">
        <x:v>r11</x:v>
      </x:c>
      <x:c r="C89" s="48" t="str">
        <x:v>CN-ZJ</x:v>
      </x:c>
      <x:c r="D89" s="48" t="str">
        <x:v>Zhejiang</x:v>
      </x:c>
      <x:c r="E89" s="48" t="str">
        <x:v>浙江</x:v>
      </x:c>
      <x:c r="F89" s="48" t="n">
        <x:v>4</x:v>
      </x:c>
      <x:c r="G89" s="48" t="str">
        <x:v>freshwater_aquaculture</x:v>
      </x:c>
      <x:c r="H89" s="48" t="str">
        <x:v>淡水养殖</x:v>
      </x:c>
      <x:c r="I89" s="48" t="n">
        <x:v>2</x:v>
      </x:c>
      <x:c r="J89" s="48" t="str">
        <x:v>deep_processing</x:v>
      </x:c>
      <x:c r="K89" s="48" t="str">
        <x:v>深加工</x:v>
      </x:c>
      <x:c r="L89" s="54" t="n">
        <x:v>1440000</x:v>
      </x:c>
      <x:c r="M89" s="54" t="n">
        <x:v>1392767.5302752294</x:v>
      </x:c>
      <x:c r="N89" s="55" t="n">
        <x:v>0.22</x:v>
      </x:c>
      <x:c r="O89" s="54" t="n">
        <x:v>306408.85666055046</x:v>
      </x:c>
      <x:c r="P89" s="54" t="n">
        <x:v>367690.62799266056</x:v>
      </x:c>
      <x:c r="Q89" s="55" t="n">
        <x:v>0.08829085966700646</x:v>
      </x:c>
      <x:c r="R89" s="55" t="n">
        <x:v>0.4719301192879361</x:v>
      </x:c>
      <x:c r="S89" s="55" t="n">
        <x:v>1.45</x:v>
      </x:c>
      <x:c r="T89" s="55" t="n">
        <x:v>0.65</x:v>
      </x:c>
      <x:c r="U89" s="55" t="n">
        <x:v>0.18317222278641038</x:v>
      </x:c>
      <x:c r="V89" s="55" t="n">
        <x:v>0.9358897220247564</x:v>
      </x:c>
      <x:c r="W89" s="55" t="n">
        <x:v>0.9609592893964504</x:v>
      </x:c>
      <x:c r="X89" s="55" t="n">
        <x:v>0.8617122131810648</x:v>
      </x:c>
      <x:c r="Y89" s="54" t="n">
        <x:v>918349.4481538428</x:v>
      </x:c>
      <x:c r="Z89" s="54" t="n">
        <x:v>2459207.828888912</x:v>
      </x:c>
      <x:c r="AA89" s="54" t="n">
        <x:v>4161368.8703187164</x:v>
      </x:c>
      <x:c r="AB89" s="55" t="n">
        <x:v>1.06</x:v>
      </x:c>
      <x:c r="AC89" s="55" t="n">
        <x:v>1.2</x:v>
      </x:c>
      <x:c r="AD89" s="55" t="n">
        <x:v>0.39</x:v>
      </x:c>
      <x:c r="AE89" s="55" t="n">
        <x:v>0.91</x:v>
      </x:c>
      <x:c r="AF89" s="55" t="n">
        <x:v>0.08</x:v>
      </x:c>
      <x:c r="AG89" s="53" t="str">
        <x:v>NBS China Statistical Yearbook 2025, Table 12-15</x:v>
      </x:c>
      <x:c r="AH89" s="53" t="str">
        <x:v>calibrated reconstruction; not historical author input</x:v>
      </x:c>
    </x:row>
    <x:row r="90" ht="32" hidden="0" customHeight="1">
      <x:c r="A90" s="48" t="str">
        <x:v>x_r12_s1_m1</x:v>
      </x:c>
      <x:c r="B90" s="48" t="str">
        <x:v>r12</x:v>
      </x:c>
      <x:c r="C90" s="48" t="str">
        <x:v>CN-AH</x:v>
      </x:c>
      <x:c r="D90" s="48" t="str">
        <x:v>Anhui</x:v>
      </x:c>
      <x:c r="E90" s="48" t="str">
        <x:v>安徽</x:v>
      </x:c>
      <x:c r="F90" s="48" t="n">
        <x:v>1</x:v>
      </x:c>
      <x:c r="G90" s="48" t="str">
        <x:v>marine_capture</x:v>
      </x:c>
      <x:c r="H90" s="48" t="str">
        <x:v>海洋捕捞</x:v>
      </x:c>
      <x:c r="I90" s="48" t="n">
        <x:v>1</x:v>
      </x:c>
      <x:c r="J90" s="48" t="str">
        <x:v>fresh_sales</x:v>
      </x:c>
      <x:c r="K90" s="48" t="str">
        <x:v>鲜销</x:v>
      </x:c>
      <x:c r="L90" s="54" t="n">
        <x:v>0</x:v>
      </x:c>
      <x:c r="M90" s="54" t="n">
        <x:v>0</x:v>
      </x:c>
      <x:c r="N90" s="55" t="n">
        <x:v>0.62</x:v>
      </x:c>
      <x:c r="O90" s="54" t="n">
        <x:v>0</x:v>
      </x:c>
      <x:c r="P90" s="54" t="n">
        <x:v>0</x:v>
      </x:c>
      <x:c r="Q90" s="55" t="n">
        <x:v>0.03550118926265715</x:v>
      </x:c>
      <x:c r="R90" s="55" t="n">
        <x:v>0.4110764830343037</x:v>
      </x:c>
      <x:c r="S90" s="55" t="n">
        <x:v>0.890303529070049</x:v>
      </x:c>
      <x:c r="T90" s="55" t="n">
        <x:v>1.1232124408678157</x:v>
      </x:c>
      <x:c r="U90" s="55" t="n">
        <x:v>0.48205653511898827</x:v>
      </x:c>
      <x:c r="V90" s="55" t="n">
        <x:v>0.8312802127083541</x:v>
      </x:c>
      <x:c r="W90" s="55" t="n">
        <x:v>1</x:v>
      </x:c>
      <x:c r="X90" s="55" t="n">
        <x:v>0.8499999999999999</x:v>
      </x:c>
      <x:c r="Y90" s="54" t="n">
        <x:v>441215.5537265168</x:v>
      </x:c>
      <x:c r="Z90" s="54" t="n">
        <x:v>1010530.219188583</x:v>
      </x:c>
      <x:c r="AA90" s="54" t="n">
        <x:v>260000.25247481646</x:v>
      </x:c>
      <x:c r="AB90" s="55" t="n">
        <x:v>0.65</x:v>
      </x:c>
      <x:c r="AC90" s="55" t="n">
        <x:v>0.62</x:v>
      </x:c>
      <x:c r="AD90" s="55" t="n">
        <x:v>0.29</x:v>
      </x:c>
      <x:c r="AE90" s="55" t="n">
        <x:v>0.28</x:v>
      </x:c>
      <x:c r="AF90" s="55" t="n">
        <x:v>1</x:v>
      </x:c>
      <x:c r="AG90" s="53" t="str">
        <x:v>NBS China Statistical Yearbook 2025, Table 12-15</x:v>
      </x:c>
      <x:c r="AH90" s="53" t="str">
        <x:v>calibrated reconstruction; not historical author input</x:v>
      </x:c>
    </x:row>
    <x:row r="91" ht="32" hidden="0" customHeight="1">
      <x:c r="A91" s="48" t="str">
        <x:v>x_r12_s1_m2</x:v>
      </x:c>
      <x:c r="B91" s="48" t="str">
        <x:v>r12</x:v>
      </x:c>
      <x:c r="C91" s="48" t="str">
        <x:v>CN-AH</x:v>
      </x:c>
      <x:c r="D91" s="48" t="str">
        <x:v>Anhui</x:v>
      </x:c>
      <x:c r="E91" s="48" t="str">
        <x:v>安徽</x:v>
      </x:c>
      <x:c r="F91" s="48" t="n">
        <x:v>1</x:v>
      </x:c>
      <x:c r="G91" s="48" t="str">
        <x:v>marine_capture</x:v>
      </x:c>
      <x:c r="H91" s="48" t="str">
        <x:v>海洋捕捞</x:v>
      </x:c>
      <x:c r="I91" s="48" t="n">
        <x:v>2</x:v>
      </x:c>
      <x:c r="J91" s="48" t="str">
        <x:v>deep_processing</x:v>
      </x:c>
      <x:c r="K91" s="48" t="str">
        <x:v>深加工</x:v>
      </x:c>
      <x:c r="L91" s="54" t="n">
        <x:v>0</x:v>
      </x:c>
      <x:c r="M91" s="54" t="n">
        <x:v>0</x:v>
      </x:c>
      <x:c r="N91" s="55" t="n">
        <x:v>0.38</x:v>
      </x:c>
      <x:c r="O91" s="54" t="n">
        <x:v>0</x:v>
      </x:c>
      <x:c r="P91" s="54" t="n">
        <x:v>0</x:v>
      </x:c>
      <x:c r="Q91" s="55" t="n">
        <x:v>0.03550118926265715</x:v>
      </x:c>
      <x:c r="R91" s="55" t="n">
        <x:v>0.4110764830343037</x:v>
      </x:c>
      <x:c r="S91" s="55" t="n">
        <x:v>0.890303529070049</x:v>
      </x:c>
      <x:c r="T91" s="55" t="n">
        <x:v>1.1232124408678157</x:v>
      </x:c>
      <x:c r="U91" s="55" t="n">
        <x:v>0.48205653511898827</x:v>
      </x:c>
      <x:c r="V91" s="55" t="n">
        <x:v>0.8312802127083541</x:v>
      </x:c>
      <x:c r="W91" s="55" t="n">
        <x:v>1</x:v>
      </x:c>
      <x:c r="X91" s="55" t="n">
        <x:v>0.8499999999999999</x:v>
      </x:c>
      <x:c r="Y91" s="54" t="n">
        <x:v>441215.5537265168</x:v>
      </x:c>
      <x:c r="Z91" s="54" t="n">
        <x:v>1010530.219188583</x:v>
      </x:c>
      <x:c r="AA91" s="54" t="n">
        <x:v>260000.25247481646</x:v>
      </x:c>
      <x:c r="AB91" s="55" t="n">
        <x:v>0.82</x:v>
      </x:c>
      <x:c r="AC91" s="55" t="n">
        <x:v>0.95</x:v>
      </x:c>
      <x:c r="AD91" s="55" t="n">
        <x:v>0.36</x:v>
      </x:c>
      <x:c r="AE91" s="55" t="n">
        <x:v>0.31</x:v>
      </x:c>
      <x:c r="AF91" s="55" t="n">
        <x:v>1</x:v>
      </x:c>
      <x:c r="AG91" s="53" t="str">
        <x:v>NBS China Statistical Yearbook 2025, Table 12-15</x:v>
      </x:c>
      <x:c r="AH91" s="53" t="str">
        <x:v>calibrated reconstruction; not historical author input</x:v>
      </x:c>
    </x:row>
    <x:row r="92" ht="32" hidden="0" customHeight="1">
      <x:c r="A92" s="48" t="str">
        <x:v>x_r12_s2_m1</x:v>
      </x:c>
      <x:c r="B92" s="48" t="str">
        <x:v>r12</x:v>
      </x:c>
      <x:c r="C92" s="48" t="str">
        <x:v>CN-AH</x:v>
      </x:c>
      <x:c r="D92" s="48" t="str">
        <x:v>Anhui</x:v>
      </x:c>
      <x:c r="E92" s="48" t="str">
        <x:v>安徽</x:v>
      </x:c>
      <x:c r="F92" s="48" t="n">
        <x:v>2</x:v>
      </x:c>
      <x:c r="G92" s="48" t="str">
        <x:v>freshwater_capture</x:v>
      </x:c>
      <x:c r="H92" s="48" t="str">
        <x:v>淡水捕捞</x:v>
      </x:c>
      <x:c r="I92" s="48" t="n">
        <x:v>1</x:v>
      </x:c>
      <x:c r="J92" s="48" t="str">
        <x:v>fresh_sales</x:v>
      </x:c>
      <x:c r="K92" s="48" t="str">
        <x:v>鲜销</x:v>
      </x:c>
      <x:c r="L92" s="54" t="n">
        <x:v>98000</x:v>
      </x:c>
      <x:c r="M92" s="54" t="n">
        <x:v>94785.56803261978</x:v>
      </x:c>
      <x:c r="N92" s="55" t="n">
        <x:v>0.67</x:v>
      </x:c>
      <x:c r="O92" s="54" t="n">
        <x:v>63506.330581855254</x:v>
      </x:c>
      <x:c r="P92" s="54" t="n">
        <x:v>76207.5966982263</x:v>
      </x:c>
      <x:c r="Q92" s="55" t="n">
        <x:v>0.03550118926265715</x:v>
      </x:c>
      <x:c r="R92" s="55" t="n">
        <x:v>0.4110764830343037</x:v>
      </x:c>
      <x:c r="S92" s="55" t="n">
        <x:v>0.890303529070049</x:v>
      </x:c>
      <x:c r="T92" s="55" t="n">
        <x:v>1.1232124408678157</x:v>
      </x:c>
      <x:c r="U92" s="55" t="n">
        <x:v>0.48205653511898827</x:v>
      </x:c>
      <x:c r="V92" s="55" t="n">
        <x:v>0.8312802127083541</x:v>
      </x:c>
      <x:c r="W92" s="55" t="n">
        <x:v>1</x:v>
      </x:c>
      <x:c r="X92" s="55" t="n">
        <x:v>0.8499999999999999</x:v>
      </x:c>
      <x:c r="Y92" s="54" t="n">
        <x:v>441215.5537265168</x:v>
      </x:c>
      <x:c r="Z92" s="54" t="n">
        <x:v>1010530.219188583</x:v>
      </x:c>
      <x:c r="AA92" s="54" t="n">
        <x:v>260000.25247481646</x:v>
      </x:c>
      <x:c r="AB92" s="55" t="n">
        <x:v>0.7</x:v>
      </x:c>
      <x:c r="AC92" s="55" t="n">
        <x:v>0.67</x:v>
      </x:c>
      <x:c r="AD92" s="55" t="n">
        <x:v>0.26</x:v>
      </x:c>
      <x:c r="AE92" s="55" t="n">
        <x:v>0.42</x:v>
      </x:c>
      <x:c r="AF92" s="55" t="n">
        <x:v>0.7</x:v>
      </x:c>
      <x:c r="AG92" s="53" t="str">
        <x:v>NBS China Statistical Yearbook 2025, Table 12-15</x:v>
      </x:c>
      <x:c r="AH92" s="53" t="str">
        <x:v>calibrated reconstruction; not historical author input</x:v>
      </x:c>
    </x:row>
    <x:row r="93" ht="32" hidden="0" customHeight="1">
      <x:c r="A93" s="48" t="str">
        <x:v>x_r12_s2_m2</x:v>
      </x:c>
      <x:c r="B93" s="48" t="str">
        <x:v>r12</x:v>
      </x:c>
      <x:c r="C93" s="48" t="str">
        <x:v>CN-AH</x:v>
      </x:c>
      <x:c r="D93" s="48" t="str">
        <x:v>Anhui</x:v>
      </x:c>
      <x:c r="E93" s="48" t="str">
        <x:v>安徽</x:v>
      </x:c>
      <x:c r="F93" s="48" t="n">
        <x:v>2</x:v>
      </x:c>
      <x:c r="G93" s="48" t="str">
        <x:v>freshwater_capture</x:v>
      </x:c>
      <x:c r="H93" s="48" t="str">
        <x:v>淡水捕捞</x:v>
      </x:c>
      <x:c r="I93" s="48" t="n">
        <x:v>2</x:v>
      </x:c>
      <x:c r="J93" s="48" t="str">
        <x:v>deep_processing</x:v>
      </x:c>
      <x:c r="K93" s="48" t="str">
        <x:v>深加工</x:v>
      </x:c>
      <x:c r="L93" s="54" t="n">
        <x:v>98000</x:v>
      </x:c>
      <x:c r="M93" s="54" t="n">
        <x:v>94785.56803261978</x:v>
      </x:c>
      <x:c r="N93" s="55" t="n">
        <x:v>0.33</x:v>
      </x:c>
      <x:c r="O93" s="54" t="n">
        <x:v>31279.23745076453</x:v>
      </x:c>
      <x:c r="P93" s="54" t="n">
        <x:v>37535.08494091743</x:v>
      </x:c>
      <x:c r="Q93" s="55" t="n">
        <x:v>0.03550118926265715</x:v>
      </x:c>
      <x:c r="R93" s="55" t="n">
        <x:v>0.4110764830343037</x:v>
      </x:c>
      <x:c r="S93" s="55" t="n">
        <x:v>0.890303529070049</x:v>
      </x:c>
      <x:c r="T93" s="55" t="n">
        <x:v>1.1232124408678157</x:v>
      </x:c>
      <x:c r="U93" s="55" t="n">
        <x:v>0.48205653511898827</x:v>
      </x:c>
      <x:c r="V93" s="55" t="n">
        <x:v>0.8312802127083541</x:v>
      </x:c>
      <x:c r="W93" s="55" t="n">
        <x:v>1</x:v>
      </x:c>
      <x:c r="X93" s="55" t="n">
        <x:v>0.8499999999999999</x:v>
      </x:c>
      <x:c r="Y93" s="54" t="n">
        <x:v>441215.5537265168</x:v>
      </x:c>
      <x:c r="Z93" s="54" t="n">
        <x:v>1010530.219188583</x:v>
      </x:c>
      <x:c r="AA93" s="54" t="n">
        <x:v>260000.25247481646</x:v>
      </x:c>
      <x:c r="AB93" s="55" t="n">
        <x:v>0.86</x:v>
      </x:c>
      <x:c r="AC93" s="55" t="n">
        <x:v>0.99</x:v>
      </x:c>
      <x:c r="AD93" s="55" t="n">
        <x:v>0.34</x:v>
      </x:c>
      <x:c r="AE93" s="55" t="n">
        <x:v>0.45</x:v>
      </x:c>
      <x:c r="AF93" s="55" t="n">
        <x:v>0.7</x:v>
      </x:c>
      <x:c r="AG93" s="53" t="str">
        <x:v>NBS China Statistical Yearbook 2025, Table 12-15</x:v>
      </x:c>
      <x:c r="AH93" s="53" t="str">
        <x:v>calibrated reconstruction; not historical author input</x:v>
      </x:c>
    </x:row>
    <x:row r="94" ht="32" hidden="0" customHeight="1">
      <x:c r="A94" s="48" t="str">
        <x:v>x_r12_s3_m1</x:v>
      </x:c>
      <x:c r="B94" s="48" t="str">
        <x:v>r12</x:v>
      </x:c>
      <x:c r="C94" s="48" t="str">
        <x:v>CN-AH</x:v>
      </x:c>
      <x:c r="D94" s="48" t="str">
        <x:v>Anhui</x:v>
      </x:c>
      <x:c r="E94" s="48" t="str">
        <x:v>安徽</x:v>
      </x:c>
      <x:c r="F94" s="48" t="n">
        <x:v>3</x:v>
      </x:c>
      <x:c r="G94" s="48" t="str">
        <x:v>marine_aquaculture</x:v>
      </x:c>
      <x:c r="H94" s="48" t="str">
        <x:v>海水养殖</x:v>
      </x:c>
      <x:c r="I94" s="48" t="n">
        <x:v>1</x:v>
      </x:c>
      <x:c r="J94" s="48" t="str">
        <x:v>fresh_sales</x:v>
      </x:c>
      <x:c r="K94" s="48" t="str">
        <x:v>鲜销</x:v>
      </x:c>
      <x:c r="L94" s="54" t="n">
        <x:v>0</x:v>
      </x:c>
      <x:c r="M94" s="54" t="n">
        <x:v>0</x:v>
      </x:c>
      <x:c r="N94" s="55" t="n">
        <x:v>0.74</x:v>
      </x:c>
      <x:c r="O94" s="54" t="n">
        <x:v>0</x:v>
      </x:c>
      <x:c r="P94" s="54" t="n">
        <x:v>0</x:v>
      </x:c>
      <x:c r="Q94" s="55" t="n">
        <x:v>0.03550118926265715</x:v>
      </x:c>
      <x:c r="R94" s="55" t="n">
        <x:v>0.4110764830343037</x:v>
      </x:c>
      <x:c r="S94" s="55" t="n">
        <x:v>0.890303529070049</x:v>
      </x:c>
      <x:c r="T94" s="55" t="n">
        <x:v>1.1232124408678157</x:v>
      </x:c>
      <x:c r="U94" s="55" t="n">
        <x:v>0.48205653511898827</x:v>
      </x:c>
      <x:c r="V94" s="55" t="n">
        <x:v>0.8312802127083541</x:v>
      </x:c>
      <x:c r="W94" s="55" t="n">
        <x:v>1</x:v>
      </x:c>
      <x:c r="X94" s="55" t="n">
        <x:v>0.8499999999999999</x:v>
      </x:c>
      <x:c r="Y94" s="54" t="n">
        <x:v>441215.5537265168</x:v>
      </x:c>
      <x:c r="Z94" s="54" t="n">
        <x:v>1010530.219188583</x:v>
      </x:c>
      <x:c r="AA94" s="54" t="n">
        <x:v>260000.25247481646</x:v>
      </x:c>
      <x:c r="AB94" s="55" t="n">
        <x:v>0.84</x:v>
      </x:c>
      <x:c r="AC94" s="55" t="n">
        <x:v>0.8</x:v>
      </x:c>
      <x:c r="AD94" s="55" t="n">
        <x:v>0.33</x:v>
      </x:c>
      <x:c r="AE94" s="55" t="n">
        <x:v>0.78</x:v>
      </x:c>
      <x:c r="AF94" s="55" t="n">
        <x:v>0.11</x:v>
      </x:c>
      <x:c r="AG94" s="53" t="str">
        <x:v>NBS China Statistical Yearbook 2025, Table 12-15</x:v>
      </x:c>
      <x:c r="AH94" s="53" t="str">
        <x:v>calibrated reconstruction; not historical author input</x:v>
      </x:c>
    </x:row>
    <x:row r="95" ht="32" hidden="0" customHeight="1">
      <x:c r="A95" s="48" t="str">
        <x:v>x_r12_s3_m2</x:v>
      </x:c>
      <x:c r="B95" s="48" t="str">
        <x:v>r12</x:v>
      </x:c>
      <x:c r="C95" s="48" t="str">
        <x:v>CN-AH</x:v>
      </x:c>
      <x:c r="D95" s="48" t="str">
        <x:v>Anhui</x:v>
      </x:c>
      <x:c r="E95" s="48" t="str">
        <x:v>安徽</x:v>
      </x:c>
      <x:c r="F95" s="48" t="n">
        <x:v>3</x:v>
      </x:c>
      <x:c r="G95" s="48" t="str">
        <x:v>marine_aquaculture</x:v>
      </x:c>
      <x:c r="H95" s="48" t="str">
        <x:v>海水养殖</x:v>
      </x:c>
      <x:c r="I95" s="48" t="n">
        <x:v>2</x:v>
      </x:c>
      <x:c r="J95" s="48" t="str">
        <x:v>deep_processing</x:v>
      </x:c>
      <x:c r="K95" s="48" t="str">
        <x:v>深加工</x:v>
      </x:c>
      <x:c r="L95" s="54" t="n">
        <x:v>0</x:v>
      </x:c>
      <x:c r="M95" s="54" t="n">
        <x:v>0</x:v>
      </x:c>
      <x:c r="N95" s="55" t="n">
        <x:v>0.26</x:v>
      </x:c>
      <x:c r="O95" s="54" t="n">
        <x:v>0</x:v>
      </x:c>
      <x:c r="P95" s="54" t="n">
        <x:v>0</x:v>
      </x:c>
      <x:c r="Q95" s="55" t="n">
        <x:v>0.03550118926265715</x:v>
      </x:c>
      <x:c r="R95" s="55" t="n">
        <x:v>0.4110764830343037</x:v>
      </x:c>
      <x:c r="S95" s="55" t="n">
        <x:v>0.890303529070049</x:v>
      </x:c>
      <x:c r="T95" s="55" t="n">
        <x:v>1.1232124408678157</x:v>
      </x:c>
      <x:c r="U95" s="55" t="n">
        <x:v>0.48205653511898827</x:v>
      </x:c>
      <x:c r="V95" s="55" t="n">
        <x:v>0.8312802127083541</x:v>
      </x:c>
      <x:c r="W95" s="55" t="n">
        <x:v>1</x:v>
      </x:c>
      <x:c r="X95" s="55" t="n">
        <x:v>0.8499999999999999</x:v>
      </x:c>
      <x:c r="Y95" s="54" t="n">
        <x:v>441215.5537265168</x:v>
      </x:c>
      <x:c r="Z95" s="54" t="n">
        <x:v>1010530.219188583</x:v>
      </x:c>
      <x:c r="AA95" s="54" t="n">
        <x:v>260000.25247481646</x:v>
      </x:c>
      <x:c r="AB95" s="55" t="n">
        <x:v>1.02</x:v>
      </x:c>
      <x:c r="AC95" s="55" t="n">
        <x:v>1.16</x:v>
      </x:c>
      <x:c r="AD95" s="55" t="n">
        <x:v>0.41</x:v>
      </x:c>
      <x:c r="AE95" s="55" t="n">
        <x:v>0.81</x:v>
      </x:c>
      <x:c r="AF95" s="55" t="n">
        <x:v>0.11</x:v>
      </x:c>
      <x:c r="AG95" s="53" t="str">
        <x:v>NBS China Statistical Yearbook 2025, Table 12-15</x:v>
      </x:c>
      <x:c r="AH95" s="53" t="str">
        <x:v>calibrated reconstruction; not historical author input</x:v>
      </x:c>
    </x:row>
    <x:row r="96" ht="32" hidden="0" customHeight="1">
      <x:c r="A96" s="48" t="str">
        <x:v>x_r12_s4_m1</x:v>
      </x:c>
      <x:c r="B96" s="48" t="str">
        <x:v>r12</x:v>
      </x:c>
      <x:c r="C96" s="48" t="str">
        <x:v>CN-AH</x:v>
      </x:c>
      <x:c r="D96" s="48" t="str">
        <x:v>Anhui</x:v>
      </x:c>
      <x:c r="E96" s="48" t="str">
        <x:v>安徽</x:v>
      </x:c>
      <x:c r="F96" s="48" t="n">
        <x:v>4</x:v>
      </x:c>
      <x:c r="G96" s="48" t="str">
        <x:v>freshwater_aquaculture</x:v>
      </x:c>
      <x:c r="H96" s="48" t="str">
        <x:v>淡水养殖</x:v>
      </x:c>
      <x:c r="I96" s="48" t="n">
        <x:v>1</x:v>
      </x:c>
      <x:c r="J96" s="48" t="str">
        <x:v>fresh_sales</x:v>
      </x:c>
      <x:c r="K96" s="48" t="str">
        <x:v>鲜销</x:v>
      </x:c>
      <x:c r="L96" s="54" t="n">
        <x:v>2514000</x:v>
      </x:c>
      <x:c r="M96" s="54" t="n">
        <x:v>2431539.9799388377</x:v>
      </x:c>
      <x:c r="N96" s="55" t="n">
        <x:v>0.78</x:v>
      </x:c>
      <x:c r="O96" s="54" t="n">
        <x:v>1896601.1843522934</x:v>
      </x:c>
      <x:c r="P96" s="54" t="n">
        <x:v>2275921.421222752</x:v>
      </x:c>
      <x:c r="Q96" s="55" t="n">
        <x:v>0.03550118926265715</x:v>
      </x:c>
      <x:c r="R96" s="55" t="n">
        <x:v>0.4110764830343037</x:v>
      </x:c>
      <x:c r="S96" s="55" t="n">
        <x:v>0.890303529070049</x:v>
      </x:c>
      <x:c r="T96" s="55" t="n">
        <x:v>1.1232124408678157</x:v>
      </x:c>
      <x:c r="U96" s="55" t="n">
        <x:v>0.48205653511898827</x:v>
      </x:c>
      <x:c r="V96" s="55" t="n">
        <x:v>0.8312802127083541</x:v>
      </x:c>
      <x:c r="W96" s="55" t="n">
        <x:v>1</x:v>
      </x:c>
      <x:c r="X96" s="55" t="n">
        <x:v>0.8499999999999999</x:v>
      </x:c>
      <x:c r="Y96" s="54" t="n">
        <x:v>441215.5537265168</x:v>
      </x:c>
      <x:c r="Z96" s="54" t="n">
        <x:v>1010530.219188583</x:v>
      </x:c>
      <x:c r="AA96" s="54" t="n">
        <x:v>260000.25247481646</x:v>
      </x:c>
      <x:c r="AB96" s="55" t="n">
        <x:v>0.88</x:v>
      </x:c>
      <x:c r="AC96" s="55" t="n">
        <x:v>0.84</x:v>
      </x:c>
      <x:c r="AD96" s="55" t="n">
        <x:v>0.31</x:v>
      </x:c>
      <x:c r="AE96" s="55" t="n">
        <x:v>0.88</x:v>
      </x:c>
      <x:c r="AF96" s="55" t="n">
        <x:v>0.08</x:v>
      </x:c>
      <x:c r="AG96" s="53" t="str">
        <x:v>NBS China Statistical Yearbook 2025, Table 12-15</x:v>
      </x:c>
      <x:c r="AH96" s="53" t="str">
        <x:v>calibrated reconstruction; not historical author input</x:v>
      </x:c>
    </x:row>
    <x:row r="97" ht="32" hidden="0" customHeight="1">
      <x:c r="A97" s="48" t="str">
        <x:v>x_r12_s4_m2</x:v>
      </x:c>
      <x:c r="B97" s="48" t="str">
        <x:v>r12</x:v>
      </x:c>
      <x:c r="C97" s="48" t="str">
        <x:v>CN-AH</x:v>
      </x:c>
      <x:c r="D97" s="48" t="str">
        <x:v>Anhui</x:v>
      </x:c>
      <x:c r="E97" s="48" t="str">
        <x:v>安徽</x:v>
      </x:c>
      <x:c r="F97" s="48" t="n">
        <x:v>4</x:v>
      </x:c>
      <x:c r="G97" s="48" t="str">
        <x:v>freshwater_aquaculture</x:v>
      </x:c>
      <x:c r="H97" s="48" t="str">
        <x:v>淡水养殖</x:v>
      </x:c>
      <x:c r="I97" s="48" t="n">
        <x:v>2</x:v>
      </x:c>
      <x:c r="J97" s="48" t="str">
        <x:v>deep_processing</x:v>
      </x:c>
      <x:c r="K97" s="48" t="str">
        <x:v>深加工</x:v>
      </x:c>
      <x:c r="L97" s="54" t="n">
        <x:v>2514000</x:v>
      </x:c>
      <x:c r="M97" s="54" t="n">
        <x:v>2431539.9799388377</x:v>
      </x:c>
      <x:c r="N97" s="55" t="n">
        <x:v>0.22</x:v>
      </x:c>
      <x:c r="O97" s="54" t="n">
        <x:v>534938.7955865443</x:v>
      </x:c>
      <x:c r="P97" s="54" t="n">
        <x:v>641926.5547038532</x:v>
      </x:c>
      <x:c r="Q97" s="55" t="n">
        <x:v>0.03550118926265715</x:v>
      </x:c>
      <x:c r="R97" s="55" t="n">
        <x:v>0.4110764830343037</x:v>
      </x:c>
      <x:c r="S97" s="55" t="n">
        <x:v>0.890303529070049</x:v>
      </x:c>
      <x:c r="T97" s="55" t="n">
        <x:v>1.1232124408678157</x:v>
      </x:c>
      <x:c r="U97" s="55" t="n">
        <x:v>0.48205653511898827</x:v>
      </x:c>
      <x:c r="V97" s="55" t="n">
        <x:v>0.8312802127083541</x:v>
      </x:c>
      <x:c r="W97" s="55" t="n">
        <x:v>1</x:v>
      </x:c>
      <x:c r="X97" s="55" t="n">
        <x:v>0.8499999999999999</x:v>
      </x:c>
      <x:c r="Y97" s="54" t="n">
        <x:v>441215.5537265168</x:v>
      </x:c>
      <x:c r="Z97" s="54" t="n">
        <x:v>1010530.219188583</x:v>
      </x:c>
      <x:c r="AA97" s="54" t="n">
        <x:v>260000.25247481646</x:v>
      </x:c>
      <x:c r="AB97" s="55" t="n">
        <x:v>1.06</x:v>
      </x:c>
      <x:c r="AC97" s="55" t="n">
        <x:v>1.2</x:v>
      </x:c>
      <x:c r="AD97" s="55" t="n">
        <x:v>0.39</x:v>
      </x:c>
      <x:c r="AE97" s="55" t="n">
        <x:v>0.91</x:v>
      </x:c>
      <x:c r="AF97" s="55" t="n">
        <x:v>0.08</x:v>
      </x:c>
      <x:c r="AG97" s="53" t="str">
        <x:v>NBS China Statistical Yearbook 2025, Table 12-15</x:v>
      </x:c>
      <x:c r="AH97" s="53" t="str">
        <x:v>calibrated reconstruction; not historical author input</x:v>
      </x:c>
    </x:row>
    <x:row r="98" ht="32" hidden="0" customHeight="1">
      <x:c r="A98" s="48" t="str">
        <x:v>x_r13_s1_m1</x:v>
      </x:c>
      <x:c r="B98" s="48" t="str">
        <x:v>r13</x:v>
      </x:c>
      <x:c r="C98" s="48" t="str">
        <x:v>CN-FJ</x:v>
      </x:c>
      <x:c r="D98" s="48" t="str">
        <x:v>Fujian</x:v>
      </x:c>
      <x:c r="E98" s="48" t="str">
        <x:v>福建</x:v>
      </x:c>
      <x:c r="F98" s="48" t="n">
        <x:v>1</x:v>
      </x:c>
      <x:c r="G98" s="48" t="str">
        <x:v>marine_capture</x:v>
      </x:c>
      <x:c r="H98" s="48" t="str">
        <x:v>海洋捕捞</x:v>
      </x:c>
      <x:c r="I98" s="48" t="n">
        <x:v>1</x:v>
      </x:c>
      <x:c r="J98" s="48" t="str">
        <x:v>fresh_sales</x:v>
      </x:c>
      <x:c r="K98" s="48" t="str">
        <x:v>鲜销</x:v>
      </x:c>
      <x:c r="L98" s="54" t="n">
        <x:v>2054000</x:v>
      </x:c>
      <x:c r="M98" s="54" t="n">
        <x:v>1986628.1299898063</x:v>
      </x:c>
      <x:c r="N98" s="55" t="n">
        <x:v>0.62</x:v>
      </x:c>
      <x:c r="O98" s="54" t="n">
        <x:v>1231709.44059368</x:v>
      </x:c>
      <x:c r="P98" s="54" t="n">
        <x:v>1478051.3287124159</x:v>
      </x:c>
      <x:c r="Q98" s="55" t="n">
        <x:v>0.12568127760788309</x:v>
      </x:c>
      <x:c r="R98" s="55" t="n">
        <x:v>0.4190901266522838</x:v>
      </x:c>
      <x:c r="S98" s="55" t="n">
        <x:v>1.1583724645398654</x:v>
      </x:c>
      <x:c r="T98" s="55" t="n">
        <x:v>0.8632801888960863</x:v>
      </x:c>
      <x:c r="U98" s="55" t="n">
        <x:v>0.3793332901146332</x:v>
      </x:c>
      <x:c r="V98" s="55" t="n">
        <x:v>0.8672333484598784</x:v>
      </x:c>
      <x:c r="W98" s="55" t="n">
        <x:v>0.8026302503604382</x:v>
      </x:c>
      <x:c r="X98" s="55" t="n">
        <x:v>0.9092109248918685</x:v>
      </x:c>
      <x:c r="Y98" s="54" t="n">
        <x:v>1196402.5963087247</x:v>
      </x:c>
      <x:c r="Z98" s="54" t="n">
        <x:v>3189130.8713405924</x:v>
      </x:c>
      <x:c r="AA98" s="54" t="n">
        <x:v>2945020.3575925897</x:v>
      </x:c>
      <x:c r="AB98" s="55" t="n">
        <x:v>0.65</x:v>
      </x:c>
      <x:c r="AC98" s="55" t="n">
        <x:v>0.62</x:v>
      </x:c>
      <x:c r="AD98" s="55" t="n">
        <x:v>0.29</x:v>
      </x:c>
      <x:c r="AE98" s="55" t="n">
        <x:v>0.28</x:v>
      </x:c>
      <x:c r="AF98" s="55" t="n">
        <x:v>1</x:v>
      </x:c>
      <x:c r="AG98" s="53" t="str">
        <x:v>NBS China Statistical Yearbook 2025, Table 12-15</x:v>
      </x:c>
      <x:c r="AH98" s="53" t="str">
        <x:v>calibrated reconstruction; not historical author input</x:v>
      </x:c>
    </x:row>
    <x:row r="99" ht="32" hidden="0" customHeight="1">
      <x:c r="A99" s="48" t="str">
        <x:v>x_r13_s1_m2</x:v>
      </x:c>
      <x:c r="B99" s="48" t="str">
        <x:v>r13</x:v>
      </x:c>
      <x:c r="C99" s="48" t="str">
        <x:v>CN-FJ</x:v>
      </x:c>
      <x:c r="D99" s="48" t="str">
        <x:v>Fujian</x:v>
      </x:c>
      <x:c r="E99" s="48" t="str">
        <x:v>福建</x:v>
      </x:c>
      <x:c r="F99" s="48" t="n">
        <x:v>1</x:v>
      </x:c>
      <x:c r="G99" s="48" t="str">
        <x:v>marine_capture</x:v>
      </x:c>
      <x:c r="H99" s="48" t="str">
        <x:v>海洋捕捞</x:v>
      </x:c>
      <x:c r="I99" s="48" t="n">
        <x:v>2</x:v>
      </x:c>
      <x:c r="J99" s="48" t="str">
        <x:v>deep_processing</x:v>
      </x:c>
      <x:c r="K99" s="48" t="str">
        <x:v>深加工</x:v>
      </x:c>
      <x:c r="L99" s="54" t="n">
        <x:v>2054000</x:v>
      </x:c>
      <x:c r="M99" s="54" t="n">
        <x:v>1986628.1299898063</x:v>
      </x:c>
      <x:c r="N99" s="55" t="n">
        <x:v>0.38</x:v>
      </x:c>
      <x:c r="O99" s="54" t="n">
        <x:v>754918.6893961264</x:v>
      </x:c>
      <x:c r="P99" s="54" t="n">
        <x:v>905902.4272753517</x:v>
      </x:c>
      <x:c r="Q99" s="55" t="n">
        <x:v>0.12568127760788309</x:v>
      </x:c>
      <x:c r="R99" s="55" t="n">
        <x:v>0.4190901266522838</x:v>
      </x:c>
      <x:c r="S99" s="55" t="n">
        <x:v>1.1583724645398654</x:v>
      </x:c>
      <x:c r="T99" s="55" t="n">
        <x:v>0.8632801888960863</x:v>
      </x:c>
      <x:c r="U99" s="55" t="n">
        <x:v>0.3793332901146332</x:v>
      </x:c>
      <x:c r="V99" s="55" t="n">
        <x:v>0.8672333484598784</x:v>
      </x:c>
      <x:c r="W99" s="55" t="n">
        <x:v>0.8026302503604382</x:v>
      </x:c>
      <x:c r="X99" s="55" t="n">
        <x:v>0.9092109248918685</x:v>
      </x:c>
      <x:c r="Y99" s="54" t="n">
        <x:v>1196402.5963087247</x:v>
      </x:c>
      <x:c r="Z99" s="54" t="n">
        <x:v>3189130.8713405924</x:v>
      </x:c>
      <x:c r="AA99" s="54" t="n">
        <x:v>2945020.3575925897</x:v>
      </x:c>
      <x:c r="AB99" s="55" t="n">
        <x:v>0.82</x:v>
      </x:c>
      <x:c r="AC99" s="55" t="n">
        <x:v>0.95</x:v>
      </x:c>
      <x:c r="AD99" s="55" t="n">
        <x:v>0.36</x:v>
      </x:c>
      <x:c r="AE99" s="55" t="n">
        <x:v>0.31</x:v>
      </x:c>
      <x:c r="AF99" s="55" t="n">
        <x:v>1</x:v>
      </x:c>
      <x:c r="AG99" s="53" t="str">
        <x:v>NBS China Statistical Yearbook 2025, Table 12-15</x:v>
      </x:c>
      <x:c r="AH99" s="53" t="str">
        <x:v>calibrated reconstruction; not historical author input</x:v>
      </x:c>
    </x:row>
    <x:row r="100" ht="32" hidden="0" customHeight="1">
      <x:c r="A100" s="48" t="str">
        <x:v>x_r13_s2_m1</x:v>
      </x:c>
      <x:c r="B100" s="48" t="str">
        <x:v>r13</x:v>
      </x:c>
      <x:c r="C100" s="48" t="str">
        <x:v>CN-FJ</x:v>
      </x:c>
      <x:c r="D100" s="48" t="str">
        <x:v>Fujian</x:v>
      </x:c>
      <x:c r="E100" s="48" t="str">
        <x:v>福建</x:v>
      </x:c>
      <x:c r="F100" s="48" t="n">
        <x:v>2</x:v>
      </x:c>
      <x:c r="G100" s="48" t="str">
        <x:v>freshwater_capture</x:v>
      </x:c>
      <x:c r="H100" s="48" t="str">
        <x:v>淡水捕捞</x:v>
      </x:c>
      <x:c r="I100" s="48" t="n">
        <x:v>1</x:v>
      </x:c>
      <x:c r="J100" s="48" t="str">
        <x:v>fresh_sales</x:v>
      </x:c>
      <x:c r="K100" s="48" t="str">
        <x:v>鲜销</x:v>
      </x:c>
      <x:c r="L100" s="54" t="n">
        <x:v>73000</x:v>
      </x:c>
      <x:c r="M100" s="54" t="n">
        <x:v>70605.57618756371</x:v>
      </x:c>
      <x:c r="N100" s="55" t="n">
        <x:v>0.67</x:v>
      </x:c>
      <x:c r="O100" s="54" t="n">
        <x:v>47305.73604566769</x:v>
      </x:c>
      <x:c r="P100" s="54" t="n">
        <x:v>56766.88325480123</x:v>
      </x:c>
      <x:c r="Q100" s="55" t="n">
        <x:v>0.12568127760788309</x:v>
      </x:c>
      <x:c r="R100" s="55" t="n">
        <x:v>0.4190901266522838</x:v>
      </x:c>
      <x:c r="S100" s="55" t="n">
        <x:v>1.1583724645398654</x:v>
      </x:c>
      <x:c r="T100" s="55" t="n">
        <x:v>0.8632801888960863</x:v>
      </x:c>
      <x:c r="U100" s="55" t="n">
        <x:v>0.3793332901146332</x:v>
      </x:c>
      <x:c r="V100" s="55" t="n">
        <x:v>0.8672333484598784</x:v>
      </x:c>
      <x:c r="W100" s="55" t="n">
        <x:v>0.8026302503604382</x:v>
      </x:c>
      <x:c r="X100" s="55" t="n">
        <x:v>0.9092109248918685</x:v>
      </x:c>
      <x:c r="Y100" s="54" t="n">
        <x:v>1196402.5963087247</x:v>
      </x:c>
      <x:c r="Z100" s="54" t="n">
        <x:v>3189130.8713405924</x:v>
      </x:c>
      <x:c r="AA100" s="54" t="n">
        <x:v>2945020.3575925897</x:v>
      </x:c>
      <x:c r="AB100" s="55" t="n">
        <x:v>0.7</x:v>
      </x:c>
      <x:c r="AC100" s="55" t="n">
        <x:v>0.67</x:v>
      </x:c>
      <x:c r="AD100" s="55" t="n">
        <x:v>0.26</x:v>
      </x:c>
      <x:c r="AE100" s="55" t="n">
        <x:v>0.42</x:v>
      </x:c>
      <x:c r="AF100" s="55" t="n">
        <x:v>0.7</x:v>
      </x:c>
      <x:c r="AG100" s="53" t="str">
        <x:v>NBS China Statistical Yearbook 2025, Table 12-15</x:v>
      </x:c>
      <x:c r="AH100" s="53" t="str">
        <x:v>calibrated reconstruction; not historical author input</x:v>
      </x:c>
    </x:row>
    <x:row r="101" ht="32" hidden="0" customHeight="1">
      <x:c r="A101" s="48" t="str">
        <x:v>x_r13_s2_m2</x:v>
      </x:c>
      <x:c r="B101" s="48" t="str">
        <x:v>r13</x:v>
      </x:c>
      <x:c r="C101" s="48" t="str">
        <x:v>CN-FJ</x:v>
      </x:c>
      <x:c r="D101" s="48" t="str">
        <x:v>Fujian</x:v>
      </x:c>
      <x:c r="E101" s="48" t="str">
        <x:v>福建</x:v>
      </x:c>
      <x:c r="F101" s="48" t="n">
        <x:v>2</x:v>
      </x:c>
      <x:c r="G101" s="48" t="str">
        <x:v>freshwater_capture</x:v>
      </x:c>
      <x:c r="H101" s="48" t="str">
        <x:v>淡水捕捞</x:v>
      </x:c>
      <x:c r="I101" s="48" t="n">
        <x:v>2</x:v>
      </x:c>
      <x:c r="J101" s="48" t="str">
        <x:v>deep_processing</x:v>
      </x:c>
      <x:c r="K101" s="48" t="str">
        <x:v>深加工</x:v>
      </x:c>
      <x:c r="L101" s="54" t="n">
        <x:v>73000</x:v>
      </x:c>
      <x:c r="M101" s="54" t="n">
        <x:v>70605.57618756371</x:v>
      </x:c>
      <x:c r="N101" s="55" t="n">
        <x:v>0.33</x:v>
      </x:c>
      <x:c r="O101" s="54" t="n">
        <x:v>23299.840141896027</x:v>
      </x:c>
      <x:c r="P101" s="54" t="n">
        <x:v>27959.80817027523</x:v>
      </x:c>
      <x:c r="Q101" s="55" t="n">
        <x:v>0.12568127760788309</x:v>
      </x:c>
      <x:c r="R101" s="55" t="n">
        <x:v>0.4190901266522838</x:v>
      </x:c>
      <x:c r="S101" s="55" t="n">
        <x:v>1.1583724645398654</x:v>
      </x:c>
      <x:c r="T101" s="55" t="n">
        <x:v>0.8632801888960863</x:v>
      </x:c>
      <x:c r="U101" s="55" t="n">
        <x:v>0.3793332901146332</x:v>
      </x:c>
      <x:c r="V101" s="55" t="n">
        <x:v>0.8672333484598784</x:v>
      </x:c>
      <x:c r="W101" s="55" t="n">
        <x:v>0.8026302503604382</x:v>
      </x:c>
      <x:c r="X101" s="55" t="n">
        <x:v>0.9092109248918685</x:v>
      </x:c>
      <x:c r="Y101" s="54" t="n">
        <x:v>1196402.5963087247</x:v>
      </x:c>
      <x:c r="Z101" s="54" t="n">
        <x:v>3189130.8713405924</x:v>
      </x:c>
      <x:c r="AA101" s="54" t="n">
        <x:v>2945020.3575925897</x:v>
      </x:c>
      <x:c r="AB101" s="55" t="n">
        <x:v>0.86</x:v>
      </x:c>
      <x:c r="AC101" s="55" t="n">
        <x:v>0.99</x:v>
      </x:c>
      <x:c r="AD101" s="55" t="n">
        <x:v>0.34</x:v>
      </x:c>
      <x:c r="AE101" s="55" t="n">
        <x:v>0.45</x:v>
      </x:c>
      <x:c r="AF101" s="55" t="n">
        <x:v>0.7</x:v>
      </x:c>
      <x:c r="AG101" s="53" t="str">
        <x:v>NBS China Statistical Yearbook 2025, Table 12-15</x:v>
      </x:c>
      <x:c r="AH101" s="53" t="str">
        <x:v>calibrated reconstruction; not historical author input</x:v>
      </x:c>
    </x:row>
    <x:row r="102" ht="32" hidden="0" customHeight="1">
      <x:c r="A102" s="48" t="str">
        <x:v>x_r13_s3_m1</x:v>
      </x:c>
      <x:c r="B102" s="48" t="str">
        <x:v>r13</x:v>
      </x:c>
      <x:c r="C102" s="48" t="str">
        <x:v>CN-FJ</x:v>
      </x:c>
      <x:c r="D102" s="48" t="str">
        <x:v>Fujian</x:v>
      </x:c>
      <x:c r="E102" s="48" t="str">
        <x:v>福建</x:v>
      </x:c>
      <x:c r="F102" s="48" t="n">
        <x:v>3</x:v>
      </x:c>
      <x:c r="G102" s="48" t="str">
        <x:v>marine_aquaculture</x:v>
      </x:c>
      <x:c r="H102" s="48" t="str">
        <x:v>海水养殖</x:v>
      </x:c>
      <x:c r="I102" s="48" t="n">
        <x:v>1</x:v>
      </x:c>
      <x:c r="J102" s="48" t="str">
        <x:v>fresh_sales</x:v>
      </x:c>
      <x:c r="K102" s="48" t="str">
        <x:v>鲜销</x:v>
      </x:c>
      <x:c r="L102" s="54" t="n">
        <x:v>6133000</x:v>
      </x:c>
      <x:c r="M102" s="54" t="n">
        <x:v>5931835.599429154</x:v>
      </x:c>
      <x:c r="N102" s="55" t="n">
        <x:v>0.74</x:v>
      </x:c>
      <x:c r="O102" s="54" t="n">
        <x:v>4389558.343577574</x:v>
      </x:c>
      <x:c r="P102" s="54" t="n">
        <x:v>5267470.012293088</x:v>
      </x:c>
      <x:c r="Q102" s="55" t="n">
        <x:v>0.12568127760788309</x:v>
      </x:c>
      <x:c r="R102" s="55" t="n">
        <x:v>0.4190901266522838</x:v>
      </x:c>
      <x:c r="S102" s="55" t="n">
        <x:v>1.1583724645398654</x:v>
      </x:c>
      <x:c r="T102" s="55" t="n">
        <x:v>0.8632801888960863</x:v>
      </x:c>
      <x:c r="U102" s="55" t="n">
        <x:v>0.3793332901146332</x:v>
      </x:c>
      <x:c r="V102" s="55" t="n">
        <x:v>0.8672333484598784</x:v>
      </x:c>
      <x:c r="W102" s="55" t="n">
        <x:v>0.8026302503604382</x:v>
      </x:c>
      <x:c r="X102" s="55" t="n">
        <x:v>0.9092109248918685</x:v>
      </x:c>
      <x:c r="Y102" s="54" t="n">
        <x:v>1196402.5963087247</x:v>
      </x:c>
      <x:c r="Z102" s="54" t="n">
        <x:v>3189130.8713405924</x:v>
      </x:c>
      <x:c r="AA102" s="54" t="n">
        <x:v>2945020.3575925897</x:v>
      </x:c>
      <x:c r="AB102" s="55" t="n">
        <x:v>0.84</x:v>
      </x:c>
      <x:c r="AC102" s="55" t="n">
        <x:v>0.8</x:v>
      </x:c>
      <x:c r="AD102" s="55" t="n">
        <x:v>0.33</x:v>
      </x:c>
      <x:c r="AE102" s="55" t="n">
        <x:v>0.78</x:v>
      </x:c>
      <x:c r="AF102" s="55" t="n">
        <x:v>0.11</x:v>
      </x:c>
      <x:c r="AG102" s="53" t="str">
        <x:v>NBS China Statistical Yearbook 2025, Table 12-15</x:v>
      </x:c>
      <x:c r="AH102" s="53" t="str">
        <x:v>calibrated reconstruction; not historical author input</x:v>
      </x:c>
    </x:row>
    <x:row r="103" ht="32" hidden="0" customHeight="1">
      <x:c r="A103" s="48" t="str">
        <x:v>x_r13_s3_m2</x:v>
      </x:c>
      <x:c r="B103" s="48" t="str">
        <x:v>r13</x:v>
      </x:c>
      <x:c r="C103" s="48" t="str">
        <x:v>CN-FJ</x:v>
      </x:c>
      <x:c r="D103" s="48" t="str">
        <x:v>Fujian</x:v>
      </x:c>
      <x:c r="E103" s="48" t="str">
        <x:v>福建</x:v>
      </x:c>
      <x:c r="F103" s="48" t="n">
        <x:v>3</x:v>
      </x:c>
      <x:c r="G103" s="48" t="str">
        <x:v>marine_aquaculture</x:v>
      </x:c>
      <x:c r="H103" s="48" t="str">
        <x:v>海水养殖</x:v>
      </x:c>
      <x:c r="I103" s="48" t="n">
        <x:v>2</x:v>
      </x:c>
      <x:c r="J103" s="48" t="str">
        <x:v>deep_processing</x:v>
      </x:c>
      <x:c r="K103" s="48" t="str">
        <x:v>深加工</x:v>
      </x:c>
      <x:c r="L103" s="54" t="n">
        <x:v>6133000</x:v>
      </x:c>
      <x:c r="M103" s="54" t="n">
        <x:v>5931835.599429154</x:v>
      </x:c>
      <x:c r="N103" s="55" t="n">
        <x:v>0.26</x:v>
      </x:c>
      <x:c r="O103" s="54" t="n">
        <x:v>1542277.25585158</x:v>
      </x:c>
      <x:c r="P103" s="54" t="n">
        <x:v>1850732.707021896</x:v>
      </x:c>
      <x:c r="Q103" s="55" t="n">
        <x:v>0.12568127760788309</x:v>
      </x:c>
      <x:c r="R103" s="55" t="n">
        <x:v>0.4190901266522838</x:v>
      </x:c>
      <x:c r="S103" s="55" t="n">
        <x:v>1.1583724645398654</x:v>
      </x:c>
      <x:c r="T103" s="55" t="n">
        <x:v>0.8632801888960863</x:v>
      </x:c>
      <x:c r="U103" s="55" t="n">
        <x:v>0.3793332901146332</x:v>
      </x:c>
      <x:c r="V103" s="55" t="n">
        <x:v>0.8672333484598784</x:v>
      </x:c>
      <x:c r="W103" s="55" t="n">
        <x:v>0.8026302503604382</x:v>
      </x:c>
      <x:c r="X103" s="55" t="n">
        <x:v>0.9092109248918685</x:v>
      </x:c>
      <x:c r="Y103" s="54" t="n">
        <x:v>1196402.5963087247</x:v>
      </x:c>
      <x:c r="Z103" s="54" t="n">
        <x:v>3189130.8713405924</x:v>
      </x:c>
      <x:c r="AA103" s="54" t="n">
        <x:v>2945020.3575925897</x:v>
      </x:c>
      <x:c r="AB103" s="55" t="n">
        <x:v>1.02</x:v>
      </x:c>
      <x:c r="AC103" s="55" t="n">
        <x:v>1.16</x:v>
      </x:c>
      <x:c r="AD103" s="55" t="n">
        <x:v>0.41</x:v>
      </x:c>
      <x:c r="AE103" s="55" t="n">
        <x:v>0.81</x:v>
      </x:c>
      <x:c r="AF103" s="55" t="n">
        <x:v>0.11</x:v>
      </x:c>
      <x:c r="AG103" s="53" t="str">
        <x:v>NBS China Statistical Yearbook 2025, Table 12-15</x:v>
      </x:c>
      <x:c r="AH103" s="53" t="str">
        <x:v>calibrated reconstruction; not historical author input</x:v>
      </x:c>
    </x:row>
    <x:row r="104" ht="32" hidden="0" customHeight="1">
      <x:c r="A104" s="48" t="str">
        <x:v>x_r13_s4_m1</x:v>
      </x:c>
      <x:c r="B104" s="48" t="str">
        <x:v>r13</x:v>
      </x:c>
      <x:c r="C104" s="48" t="str">
        <x:v>CN-FJ</x:v>
      </x:c>
      <x:c r="D104" s="48" t="str">
        <x:v>Fujian</x:v>
      </x:c>
      <x:c r="E104" s="48" t="str">
        <x:v>福建</x:v>
      </x:c>
      <x:c r="F104" s="48" t="n">
        <x:v>4</x:v>
      </x:c>
      <x:c r="G104" s="48" t="str">
        <x:v>freshwater_aquaculture</x:v>
      </x:c>
      <x:c r="H104" s="48" t="str">
        <x:v>淡水养殖</x:v>
      </x:c>
      <x:c r="I104" s="48" t="n">
        <x:v>1</x:v>
      </x:c>
      <x:c r="J104" s="48" t="str">
        <x:v>fresh_sales</x:v>
      </x:c>
      <x:c r="K104" s="48" t="str">
        <x:v>鲜销</x:v>
      </x:c>
      <x:c r="L104" s="54" t="n">
        <x:v>987000</x:v>
      </x:c>
      <x:c r="M104" s="54" t="n">
        <x:v>954626.0780428135</x:v>
      </x:c>
      <x:c r="N104" s="55" t="n">
        <x:v>0.78</x:v>
      </x:c>
      <x:c r="O104" s="54" t="n">
        <x:v>744608.3408733945</x:v>
      </x:c>
      <x:c r="P104" s="54" t="n">
        <x:v>893530.0090480734</x:v>
      </x:c>
      <x:c r="Q104" s="55" t="n">
        <x:v>0.12568127760788309</x:v>
      </x:c>
      <x:c r="R104" s="55" t="n">
        <x:v>0.4190901266522838</x:v>
      </x:c>
      <x:c r="S104" s="55" t="n">
        <x:v>1.1583724645398654</x:v>
      </x:c>
      <x:c r="T104" s="55" t="n">
        <x:v>0.8632801888960863</x:v>
      </x:c>
      <x:c r="U104" s="55" t="n">
        <x:v>0.3793332901146332</x:v>
      </x:c>
      <x:c r="V104" s="55" t="n">
        <x:v>0.8672333484598784</x:v>
      </x:c>
      <x:c r="W104" s="55" t="n">
        <x:v>0.8026302503604382</x:v>
      </x:c>
      <x:c r="X104" s="55" t="n">
        <x:v>0.9092109248918685</x:v>
      </x:c>
      <x:c r="Y104" s="54" t="n">
        <x:v>1196402.5963087247</x:v>
      </x:c>
      <x:c r="Z104" s="54" t="n">
        <x:v>3189130.8713405924</x:v>
      </x:c>
      <x:c r="AA104" s="54" t="n">
        <x:v>2945020.3575925897</x:v>
      </x:c>
      <x:c r="AB104" s="55" t="n">
        <x:v>0.88</x:v>
      </x:c>
      <x:c r="AC104" s="55" t="n">
        <x:v>0.84</x:v>
      </x:c>
      <x:c r="AD104" s="55" t="n">
        <x:v>0.31</x:v>
      </x:c>
      <x:c r="AE104" s="55" t="n">
        <x:v>0.88</x:v>
      </x:c>
      <x:c r="AF104" s="55" t="n">
        <x:v>0.08</x:v>
      </x:c>
      <x:c r="AG104" s="53" t="str">
        <x:v>NBS China Statistical Yearbook 2025, Table 12-15</x:v>
      </x:c>
      <x:c r="AH104" s="53" t="str">
        <x:v>calibrated reconstruction; not historical author input</x:v>
      </x:c>
    </x:row>
    <x:row r="105" ht="32" hidden="0" customHeight="1">
      <x:c r="A105" s="48" t="str">
        <x:v>x_r13_s4_m2</x:v>
      </x:c>
      <x:c r="B105" s="48" t="str">
        <x:v>r13</x:v>
      </x:c>
      <x:c r="C105" s="48" t="str">
        <x:v>CN-FJ</x:v>
      </x:c>
      <x:c r="D105" s="48" t="str">
        <x:v>Fujian</x:v>
      </x:c>
      <x:c r="E105" s="48" t="str">
        <x:v>福建</x:v>
      </x:c>
      <x:c r="F105" s="48" t="n">
        <x:v>4</x:v>
      </x:c>
      <x:c r="G105" s="48" t="str">
        <x:v>freshwater_aquaculture</x:v>
      </x:c>
      <x:c r="H105" s="48" t="str">
        <x:v>淡水养殖</x:v>
      </x:c>
      <x:c r="I105" s="48" t="n">
        <x:v>2</x:v>
      </x:c>
      <x:c r="J105" s="48" t="str">
        <x:v>deep_processing</x:v>
      </x:c>
      <x:c r="K105" s="48" t="str">
        <x:v>深加工</x:v>
      </x:c>
      <x:c r="L105" s="54" t="n">
        <x:v>987000</x:v>
      </x:c>
      <x:c r="M105" s="54" t="n">
        <x:v>954626.0780428135</x:v>
      </x:c>
      <x:c r="N105" s="55" t="n">
        <x:v>0.22</x:v>
      </x:c>
      <x:c r="O105" s="54" t="n">
        <x:v>210017.73716941895</x:v>
      </x:c>
      <x:c r="P105" s="54" t="n">
        <x:v>252021.28460330272</x:v>
      </x:c>
      <x:c r="Q105" s="55" t="n">
        <x:v>0.12568127760788309</x:v>
      </x:c>
      <x:c r="R105" s="55" t="n">
        <x:v>0.4190901266522838</x:v>
      </x:c>
      <x:c r="S105" s="55" t="n">
        <x:v>1.1583724645398654</x:v>
      </x:c>
      <x:c r="T105" s="55" t="n">
        <x:v>0.8632801888960863</x:v>
      </x:c>
      <x:c r="U105" s="55" t="n">
        <x:v>0.3793332901146332</x:v>
      </x:c>
      <x:c r="V105" s="55" t="n">
        <x:v>0.8672333484598784</x:v>
      </x:c>
      <x:c r="W105" s="55" t="n">
        <x:v>0.8026302503604382</x:v>
      </x:c>
      <x:c r="X105" s="55" t="n">
        <x:v>0.9092109248918685</x:v>
      </x:c>
      <x:c r="Y105" s="54" t="n">
        <x:v>1196402.5963087247</x:v>
      </x:c>
      <x:c r="Z105" s="54" t="n">
        <x:v>3189130.8713405924</x:v>
      </x:c>
      <x:c r="AA105" s="54" t="n">
        <x:v>2945020.3575925897</x:v>
      </x:c>
      <x:c r="AB105" s="55" t="n">
        <x:v>1.06</x:v>
      </x:c>
      <x:c r="AC105" s="55" t="n">
        <x:v>1.2</x:v>
      </x:c>
      <x:c r="AD105" s="55" t="n">
        <x:v>0.39</x:v>
      </x:c>
      <x:c r="AE105" s="55" t="n">
        <x:v>0.91</x:v>
      </x:c>
      <x:c r="AF105" s="55" t="n">
        <x:v>0.08</x:v>
      </x:c>
      <x:c r="AG105" s="53" t="str">
        <x:v>NBS China Statistical Yearbook 2025, Table 12-15</x:v>
      </x:c>
      <x:c r="AH105" s="53" t="str">
        <x:v>calibrated reconstruction; not historical author input</x:v>
      </x:c>
    </x:row>
    <x:row r="106" ht="32" hidden="0" customHeight="1">
      <x:c r="A106" s="48" t="str">
        <x:v>x_r14_s1_m1</x:v>
      </x:c>
      <x:c r="B106" s="48" t="str">
        <x:v>r14</x:v>
      </x:c>
      <x:c r="C106" s="48" t="str">
        <x:v>CN-JX</x:v>
      </x:c>
      <x:c r="D106" s="48" t="str">
        <x:v>Jiangxi</x:v>
      </x:c>
      <x:c r="E106" s="48" t="str">
        <x:v>江西</x:v>
      </x:c>
      <x:c r="F106" s="48" t="n">
        <x:v>1</x:v>
      </x:c>
      <x:c r="G106" s="48" t="str">
        <x:v>marine_capture</x:v>
      </x:c>
      <x:c r="H106" s="48" t="str">
        <x:v>海洋捕捞</x:v>
      </x:c>
      <x:c r="I106" s="48" t="n">
        <x:v>1</x:v>
      </x:c>
      <x:c r="J106" s="48" t="str">
        <x:v>fresh_sales</x:v>
      </x:c>
      <x:c r="K106" s="48" t="str">
        <x:v>鲜销</x:v>
      </x:c>
      <x:c r="L106" s="54" t="n">
        <x:v>0</x:v>
      </x:c>
      <x:c r="M106" s="54" t="n">
        <x:v>0</x:v>
      </x:c>
      <x:c r="N106" s="55" t="n">
        <x:v>0.62</x:v>
      </x:c>
      <x:c r="O106" s="54" t="n">
        <x:v>0</x:v>
      </x:c>
      <x:c r="P106" s="54" t="n">
        <x:v>0</x:v>
      </x:c>
      <x:c r="Q106" s="55" t="n">
        <x:v>0.041209650016989466</x:v>
      </x:c>
      <x:c r="R106" s="55" t="n">
        <x:v>0.3805158963275592</x:v>
      </x:c>
      <x:c r="S106" s="55" t="n">
        <x:v>0.8715447548046666</x:v>
      </x:c>
      <x:c r="T106" s="55" t="n">
        <x:v>1.1473880078873553</x:v>
      </x:c>
      <x:c r="U106" s="55" t="n">
        <x:v>0.4897046852044219</x:v>
      </x:c>
      <x:c r="V106" s="55" t="n">
        <x:v>0.8286033601784524</x:v>
      </x:c>
      <x:c r="W106" s="55" t="n">
        <x:v>0.8391008976553792</x:v>
      </x:c>
      <x:c r="X106" s="55" t="n">
        <x:v>0.8982697307033862</x:v>
      </x:c>
      <x:c r="Y106" s="54" t="n">
        <x:v>457678.41302535526</x:v>
      </x:c>
      <x:c r="Z106" s="54" t="n">
        <x:v>1069213.9594700262</x:v>
      </x:c>
      <x:c r="AA106" s="54" t="n">
        <x:v>183797.20384921407</x:v>
      </x:c>
      <x:c r="AB106" s="55" t="n">
        <x:v>0.65</x:v>
      </x:c>
      <x:c r="AC106" s="55" t="n">
        <x:v>0.62</x:v>
      </x:c>
      <x:c r="AD106" s="55" t="n">
        <x:v>0.29</x:v>
      </x:c>
      <x:c r="AE106" s="55" t="n">
        <x:v>0.28</x:v>
      </x:c>
      <x:c r="AF106" s="55" t="n">
        <x:v>1</x:v>
      </x:c>
      <x:c r="AG106" s="53" t="str">
        <x:v>NBS China Statistical Yearbook 2025, Table 12-15</x:v>
      </x:c>
      <x:c r="AH106" s="53" t="str">
        <x:v>calibrated reconstruction; not historical author input</x:v>
      </x:c>
    </x:row>
    <x:row r="107" ht="32" hidden="0" customHeight="1">
      <x:c r="A107" s="48" t="str">
        <x:v>x_r14_s1_m2</x:v>
      </x:c>
      <x:c r="B107" s="48" t="str">
        <x:v>r14</x:v>
      </x:c>
      <x:c r="C107" s="48" t="str">
        <x:v>CN-JX</x:v>
      </x:c>
      <x:c r="D107" s="48" t="str">
        <x:v>Jiangxi</x:v>
      </x:c>
      <x:c r="E107" s="48" t="str">
        <x:v>江西</x:v>
      </x:c>
      <x:c r="F107" s="48" t="n">
        <x:v>1</x:v>
      </x:c>
      <x:c r="G107" s="48" t="str">
        <x:v>marine_capture</x:v>
      </x:c>
      <x:c r="H107" s="48" t="str">
        <x:v>海洋捕捞</x:v>
      </x:c>
      <x:c r="I107" s="48" t="n">
        <x:v>2</x:v>
      </x:c>
      <x:c r="J107" s="48" t="str">
        <x:v>deep_processing</x:v>
      </x:c>
      <x:c r="K107" s="48" t="str">
        <x:v>深加工</x:v>
      </x:c>
      <x:c r="L107" s="54" t="n">
        <x:v>0</x:v>
      </x:c>
      <x:c r="M107" s="54" t="n">
        <x:v>0</x:v>
      </x:c>
      <x:c r="N107" s="55" t="n">
        <x:v>0.38</x:v>
      </x:c>
      <x:c r="O107" s="54" t="n">
        <x:v>0</x:v>
      </x:c>
      <x:c r="P107" s="54" t="n">
        <x:v>0</x:v>
      </x:c>
      <x:c r="Q107" s="55" t="n">
        <x:v>0.041209650016989466</x:v>
      </x:c>
      <x:c r="R107" s="55" t="n">
        <x:v>0.3805158963275592</x:v>
      </x:c>
      <x:c r="S107" s="55" t="n">
        <x:v>0.8715447548046666</x:v>
      </x:c>
      <x:c r="T107" s="55" t="n">
        <x:v>1.1473880078873553</x:v>
      </x:c>
      <x:c r="U107" s="55" t="n">
        <x:v>0.4897046852044219</x:v>
      </x:c>
      <x:c r="V107" s="55" t="n">
        <x:v>0.8286033601784524</x:v>
      </x:c>
      <x:c r="W107" s="55" t="n">
        <x:v>0.8391008976553792</x:v>
      </x:c>
      <x:c r="X107" s="55" t="n">
        <x:v>0.8982697307033862</x:v>
      </x:c>
      <x:c r="Y107" s="54" t="n">
        <x:v>457678.41302535526</x:v>
      </x:c>
      <x:c r="Z107" s="54" t="n">
        <x:v>1069213.9594700262</x:v>
      </x:c>
      <x:c r="AA107" s="54" t="n">
        <x:v>183797.20384921407</x:v>
      </x:c>
      <x:c r="AB107" s="55" t="n">
        <x:v>0.82</x:v>
      </x:c>
      <x:c r="AC107" s="55" t="n">
        <x:v>0.95</x:v>
      </x:c>
      <x:c r="AD107" s="55" t="n">
        <x:v>0.36</x:v>
      </x:c>
      <x:c r="AE107" s="55" t="n">
        <x:v>0.31</x:v>
      </x:c>
      <x:c r="AF107" s="55" t="n">
        <x:v>1</x:v>
      </x:c>
      <x:c r="AG107" s="53" t="str">
        <x:v>NBS China Statistical Yearbook 2025, Table 12-15</x:v>
      </x:c>
      <x:c r="AH107" s="53" t="str">
        <x:v>calibrated reconstruction; not historical author input</x:v>
      </x:c>
    </x:row>
    <x:row r="108" ht="32" hidden="0" customHeight="1">
      <x:c r="A108" s="48" t="str">
        <x:v>x_r14_s2_m1</x:v>
      </x:c>
      <x:c r="B108" s="48" t="str">
        <x:v>r14</x:v>
      </x:c>
      <x:c r="C108" s="48" t="str">
        <x:v>CN-JX</x:v>
      </x:c>
      <x:c r="D108" s="48" t="str">
        <x:v>Jiangxi</x:v>
      </x:c>
      <x:c r="E108" s="48" t="str">
        <x:v>江西</x:v>
      </x:c>
      <x:c r="F108" s="48" t="n">
        <x:v>2</x:v>
      </x:c>
      <x:c r="G108" s="48" t="str">
        <x:v>freshwater_capture</x:v>
      </x:c>
      <x:c r="H108" s="48" t="str">
        <x:v>淡水捕捞</x:v>
      </x:c>
      <x:c r="I108" s="48" t="n">
        <x:v>1</x:v>
      </x:c>
      <x:c r="J108" s="48" t="str">
        <x:v>fresh_sales</x:v>
      </x:c>
      <x:c r="K108" s="48" t="str">
        <x:v>鲜销</x:v>
      </x:c>
      <x:c r="L108" s="54" t="n">
        <x:v>10000</x:v>
      </x:c>
      <x:c r="M108" s="54" t="n">
        <x:v>9671.996738022426</x:v>
      </x:c>
      <x:c r="N108" s="55" t="n">
        <x:v>0.67</x:v>
      </x:c>
      <x:c r="O108" s="54" t="n">
        <x:v>6480.2378144750255</x:v>
      </x:c>
      <x:c r="P108" s="54" t="n">
        <x:v>7776.28537737003</x:v>
      </x:c>
      <x:c r="Q108" s="55" t="n">
        <x:v>0.041209650016989466</x:v>
      </x:c>
      <x:c r="R108" s="55" t="n">
        <x:v>0.3805158963275592</x:v>
      </x:c>
      <x:c r="S108" s="55" t="n">
        <x:v>0.8715447548046666</x:v>
      </x:c>
      <x:c r="T108" s="55" t="n">
        <x:v>1.1473880078873553</x:v>
      </x:c>
      <x:c r="U108" s="55" t="n">
        <x:v>0.4897046852044219</x:v>
      </x:c>
      <x:c r="V108" s="55" t="n">
        <x:v>0.8286033601784524</x:v>
      </x:c>
      <x:c r="W108" s="55" t="n">
        <x:v>0.8391008976553792</x:v>
      </x:c>
      <x:c r="X108" s="55" t="n">
        <x:v>0.8982697307033862</x:v>
      </x:c>
      <x:c r="Y108" s="54" t="n">
        <x:v>457678.41302535526</x:v>
      </x:c>
      <x:c r="Z108" s="54" t="n">
        <x:v>1069213.9594700262</x:v>
      </x:c>
      <x:c r="AA108" s="54" t="n">
        <x:v>183797.20384921407</x:v>
      </x:c>
      <x:c r="AB108" s="55" t="n">
        <x:v>0.7</x:v>
      </x:c>
      <x:c r="AC108" s="55" t="n">
        <x:v>0.67</x:v>
      </x:c>
      <x:c r="AD108" s="55" t="n">
        <x:v>0.26</x:v>
      </x:c>
      <x:c r="AE108" s="55" t="n">
        <x:v>0.42</x:v>
      </x:c>
      <x:c r="AF108" s="55" t="n">
        <x:v>0.7</x:v>
      </x:c>
      <x:c r="AG108" s="53" t="str">
        <x:v>NBS China Statistical Yearbook 2025, Table 12-15</x:v>
      </x:c>
      <x:c r="AH108" s="53" t="str">
        <x:v>calibrated reconstruction; not historical author input</x:v>
      </x:c>
    </x:row>
    <x:row r="109" ht="32" hidden="0" customHeight="1">
      <x:c r="A109" s="48" t="str">
        <x:v>x_r14_s2_m2</x:v>
      </x:c>
      <x:c r="B109" s="48" t="str">
        <x:v>r14</x:v>
      </x:c>
      <x:c r="C109" s="48" t="str">
        <x:v>CN-JX</x:v>
      </x:c>
      <x:c r="D109" s="48" t="str">
        <x:v>Jiangxi</x:v>
      </x:c>
      <x:c r="E109" s="48" t="str">
        <x:v>江西</x:v>
      </x:c>
      <x:c r="F109" s="48" t="n">
        <x:v>2</x:v>
      </x:c>
      <x:c r="G109" s="48" t="str">
        <x:v>freshwater_capture</x:v>
      </x:c>
      <x:c r="H109" s="48" t="str">
        <x:v>淡水捕捞</x:v>
      </x:c>
      <x:c r="I109" s="48" t="n">
        <x:v>2</x:v>
      </x:c>
      <x:c r="J109" s="48" t="str">
        <x:v>deep_processing</x:v>
      </x:c>
      <x:c r="K109" s="48" t="str">
        <x:v>深加工</x:v>
      </x:c>
      <x:c r="L109" s="54" t="n">
        <x:v>10000</x:v>
      </x:c>
      <x:c r="M109" s="54" t="n">
        <x:v>9671.996738022426</x:v>
      </x:c>
      <x:c r="N109" s="55" t="n">
        <x:v>0.33</x:v>
      </x:c>
      <x:c r="O109" s="54" t="n">
        <x:v>3191.7589235474006</x:v>
      </x:c>
      <x:c r="P109" s="54" t="n">
        <x:v>3830.1107082568806</x:v>
      </x:c>
      <x:c r="Q109" s="55" t="n">
        <x:v>0.041209650016989466</x:v>
      </x:c>
      <x:c r="R109" s="55" t="n">
        <x:v>0.3805158963275592</x:v>
      </x:c>
      <x:c r="S109" s="55" t="n">
        <x:v>0.8715447548046666</x:v>
      </x:c>
      <x:c r="T109" s="55" t="n">
        <x:v>1.1473880078873553</x:v>
      </x:c>
      <x:c r="U109" s="55" t="n">
        <x:v>0.4897046852044219</x:v>
      </x:c>
      <x:c r="V109" s="55" t="n">
        <x:v>0.8286033601784524</x:v>
      </x:c>
      <x:c r="W109" s="55" t="n">
        <x:v>0.8391008976553792</x:v>
      </x:c>
      <x:c r="X109" s="55" t="n">
        <x:v>0.8982697307033862</x:v>
      </x:c>
      <x:c r="Y109" s="54" t="n">
        <x:v>457678.41302535526</x:v>
      </x:c>
      <x:c r="Z109" s="54" t="n">
        <x:v>1069213.9594700262</x:v>
      </x:c>
      <x:c r="AA109" s="54" t="n">
        <x:v>183797.20384921407</x:v>
      </x:c>
      <x:c r="AB109" s="55" t="n">
        <x:v>0.86</x:v>
      </x:c>
      <x:c r="AC109" s="55" t="n">
        <x:v>0.99</x:v>
      </x:c>
      <x:c r="AD109" s="55" t="n">
        <x:v>0.34</x:v>
      </x:c>
      <x:c r="AE109" s="55" t="n">
        <x:v>0.45</x:v>
      </x:c>
      <x:c r="AF109" s="55" t="n">
        <x:v>0.7</x:v>
      </x:c>
      <x:c r="AG109" s="53" t="str">
        <x:v>NBS China Statistical Yearbook 2025, Table 12-15</x:v>
      </x:c>
      <x:c r="AH109" s="53" t="str">
        <x:v>calibrated reconstruction; not historical author input</x:v>
      </x:c>
    </x:row>
    <x:row r="110" ht="32" hidden="0" customHeight="1">
      <x:c r="A110" s="48" t="str">
        <x:v>x_r14_s3_m1</x:v>
      </x:c>
      <x:c r="B110" s="48" t="str">
        <x:v>r14</x:v>
      </x:c>
      <x:c r="C110" s="48" t="str">
        <x:v>CN-JX</x:v>
      </x:c>
      <x:c r="D110" s="48" t="str">
        <x:v>Jiangxi</x:v>
      </x:c>
      <x:c r="E110" s="48" t="str">
        <x:v>江西</x:v>
      </x:c>
      <x:c r="F110" s="48" t="n">
        <x:v>3</x:v>
      </x:c>
      <x:c r="G110" s="48" t="str">
        <x:v>marine_aquaculture</x:v>
      </x:c>
      <x:c r="H110" s="48" t="str">
        <x:v>海水养殖</x:v>
      </x:c>
      <x:c r="I110" s="48" t="n">
        <x:v>1</x:v>
      </x:c>
      <x:c r="J110" s="48" t="str">
        <x:v>fresh_sales</x:v>
      </x:c>
      <x:c r="K110" s="48" t="str">
        <x:v>鲜销</x:v>
      </x:c>
      <x:c r="L110" s="54" t="n">
        <x:v>0</x:v>
      </x:c>
      <x:c r="M110" s="54" t="n">
        <x:v>0</x:v>
      </x:c>
      <x:c r="N110" s="55" t="n">
        <x:v>0.74</x:v>
      </x:c>
      <x:c r="O110" s="54" t="n">
        <x:v>0</x:v>
      </x:c>
      <x:c r="P110" s="54" t="n">
        <x:v>0</x:v>
      </x:c>
      <x:c r="Q110" s="55" t="n">
        <x:v>0.041209650016989466</x:v>
      </x:c>
      <x:c r="R110" s="55" t="n">
        <x:v>0.3805158963275592</x:v>
      </x:c>
      <x:c r="S110" s="55" t="n">
        <x:v>0.8715447548046666</x:v>
      </x:c>
      <x:c r="T110" s="55" t="n">
        <x:v>1.1473880078873553</x:v>
      </x:c>
      <x:c r="U110" s="55" t="n">
        <x:v>0.4897046852044219</x:v>
      </x:c>
      <x:c r="V110" s="55" t="n">
        <x:v>0.8286033601784524</x:v>
      </x:c>
      <x:c r="W110" s="55" t="n">
        <x:v>0.8391008976553792</x:v>
      </x:c>
      <x:c r="X110" s="55" t="n">
        <x:v>0.8982697307033862</x:v>
      </x:c>
      <x:c r="Y110" s="54" t="n">
        <x:v>457678.41302535526</x:v>
      </x:c>
      <x:c r="Z110" s="54" t="n">
        <x:v>1069213.9594700262</x:v>
      </x:c>
      <x:c r="AA110" s="54" t="n">
        <x:v>183797.20384921407</x:v>
      </x:c>
      <x:c r="AB110" s="55" t="n">
        <x:v>0.84</x:v>
      </x:c>
      <x:c r="AC110" s="55" t="n">
        <x:v>0.8</x:v>
      </x:c>
      <x:c r="AD110" s="55" t="n">
        <x:v>0.33</x:v>
      </x:c>
      <x:c r="AE110" s="55" t="n">
        <x:v>0.78</x:v>
      </x:c>
      <x:c r="AF110" s="55" t="n">
        <x:v>0.11</x:v>
      </x:c>
      <x:c r="AG110" s="53" t="str">
        <x:v>NBS China Statistical Yearbook 2025, Table 12-15</x:v>
      </x:c>
      <x:c r="AH110" s="53" t="str">
        <x:v>calibrated reconstruction; not historical author input</x:v>
      </x:c>
    </x:row>
    <x:row r="111" ht="32" hidden="0" customHeight="1">
      <x:c r="A111" s="48" t="str">
        <x:v>x_r14_s3_m2</x:v>
      </x:c>
      <x:c r="B111" s="48" t="str">
        <x:v>r14</x:v>
      </x:c>
      <x:c r="C111" s="48" t="str">
        <x:v>CN-JX</x:v>
      </x:c>
      <x:c r="D111" s="48" t="str">
        <x:v>Jiangxi</x:v>
      </x:c>
      <x:c r="E111" s="48" t="str">
        <x:v>江西</x:v>
      </x:c>
      <x:c r="F111" s="48" t="n">
        <x:v>3</x:v>
      </x:c>
      <x:c r="G111" s="48" t="str">
        <x:v>marine_aquaculture</x:v>
      </x:c>
      <x:c r="H111" s="48" t="str">
        <x:v>海水养殖</x:v>
      </x:c>
      <x:c r="I111" s="48" t="n">
        <x:v>2</x:v>
      </x:c>
      <x:c r="J111" s="48" t="str">
        <x:v>deep_processing</x:v>
      </x:c>
      <x:c r="K111" s="48" t="str">
        <x:v>深加工</x:v>
      </x:c>
      <x:c r="L111" s="54" t="n">
        <x:v>0</x:v>
      </x:c>
      <x:c r="M111" s="54" t="n">
        <x:v>0</x:v>
      </x:c>
      <x:c r="N111" s="55" t="n">
        <x:v>0.26</x:v>
      </x:c>
      <x:c r="O111" s="54" t="n">
        <x:v>0</x:v>
      </x:c>
      <x:c r="P111" s="54" t="n">
        <x:v>0</x:v>
      </x:c>
      <x:c r="Q111" s="55" t="n">
        <x:v>0.041209650016989466</x:v>
      </x:c>
      <x:c r="R111" s="55" t="n">
        <x:v>0.3805158963275592</x:v>
      </x:c>
      <x:c r="S111" s="55" t="n">
        <x:v>0.8715447548046666</x:v>
      </x:c>
      <x:c r="T111" s="55" t="n">
        <x:v>1.1473880078873553</x:v>
      </x:c>
      <x:c r="U111" s="55" t="n">
        <x:v>0.4897046852044219</x:v>
      </x:c>
      <x:c r="V111" s="55" t="n">
        <x:v>0.8286033601784524</x:v>
      </x:c>
      <x:c r="W111" s="55" t="n">
        <x:v>0.8391008976553792</x:v>
      </x:c>
      <x:c r="X111" s="55" t="n">
        <x:v>0.8982697307033862</x:v>
      </x:c>
      <x:c r="Y111" s="54" t="n">
        <x:v>457678.41302535526</x:v>
      </x:c>
      <x:c r="Z111" s="54" t="n">
        <x:v>1069213.9594700262</x:v>
      </x:c>
      <x:c r="AA111" s="54" t="n">
        <x:v>183797.20384921407</x:v>
      </x:c>
      <x:c r="AB111" s="55" t="n">
        <x:v>1.02</x:v>
      </x:c>
      <x:c r="AC111" s="55" t="n">
        <x:v>1.16</x:v>
      </x:c>
      <x:c r="AD111" s="55" t="n">
        <x:v>0.41</x:v>
      </x:c>
      <x:c r="AE111" s="55" t="n">
        <x:v>0.81</x:v>
      </x:c>
      <x:c r="AF111" s="55" t="n">
        <x:v>0.11</x:v>
      </x:c>
      <x:c r="AG111" s="53" t="str">
        <x:v>NBS China Statistical Yearbook 2025, Table 12-15</x:v>
      </x:c>
      <x:c r="AH111" s="53" t="str">
        <x:v>calibrated reconstruction; not historical author input</x:v>
      </x:c>
    </x:row>
    <x:row r="112" ht="32" hidden="0" customHeight="1">
      <x:c r="A112" s="48" t="str">
        <x:v>x_r14_s4_m1</x:v>
      </x:c>
      <x:c r="B112" s="48" t="str">
        <x:v>r14</x:v>
      </x:c>
      <x:c r="C112" s="48" t="str">
        <x:v>CN-JX</x:v>
      </x:c>
      <x:c r="D112" s="48" t="str">
        <x:v>Jiangxi</x:v>
      </x:c>
      <x:c r="E112" s="48" t="str">
        <x:v>江西</x:v>
      </x:c>
      <x:c r="F112" s="48" t="n">
        <x:v>4</x:v>
      </x:c>
      <x:c r="G112" s="48" t="str">
        <x:v>freshwater_aquaculture</x:v>
      </x:c>
      <x:c r="H112" s="48" t="str">
        <x:v>淡水养殖</x:v>
      </x:c>
      <x:c r="I112" s="48" t="n">
        <x:v>1</x:v>
      </x:c>
      <x:c r="J112" s="48" t="str">
        <x:v>fresh_sales</x:v>
      </x:c>
      <x:c r="K112" s="48" t="str">
        <x:v>鲜销</x:v>
      </x:c>
      <x:c r="L112" s="54" t="n">
        <x:v>3022000</x:v>
      </x:c>
      <x:c r="M112" s="54" t="n">
        <x:v>2922877.414230377</x:v>
      </x:c>
      <x:c r="N112" s="55" t="n">
        <x:v>0.78</x:v>
      </x:c>
      <x:c r="O112" s="54" t="n">
        <x:v>2279844.3830996943</x:v>
      </x:c>
      <x:c r="P112" s="54" t="n">
        <x:v>2735813.259719633</x:v>
      </x:c>
      <x:c r="Q112" s="55" t="n">
        <x:v>0.041209650016989466</x:v>
      </x:c>
      <x:c r="R112" s="55" t="n">
        <x:v>0.3805158963275592</x:v>
      </x:c>
      <x:c r="S112" s="55" t="n">
        <x:v>0.8715447548046666</x:v>
      </x:c>
      <x:c r="T112" s="55" t="n">
        <x:v>1.1473880078873553</x:v>
      </x:c>
      <x:c r="U112" s="55" t="n">
        <x:v>0.4897046852044219</x:v>
      </x:c>
      <x:c r="V112" s="55" t="n">
        <x:v>0.8286033601784524</x:v>
      </x:c>
      <x:c r="W112" s="55" t="n">
        <x:v>0.8391008976553792</x:v>
      </x:c>
      <x:c r="X112" s="55" t="n">
        <x:v>0.8982697307033862</x:v>
      </x:c>
      <x:c r="Y112" s="54" t="n">
        <x:v>457678.41302535526</x:v>
      </x:c>
      <x:c r="Z112" s="54" t="n">
        <x:v>1069213.9594700262</x:v>
      </x:c>
      <x:c r="AA112" s="54" t="n">
        <x:v>183797.20384921407</x:v>
      </x:c>
      <x:c r="AB112" s="55" t="n">
        <x:v>0.88</x:v>
      </x:c>
      <x:c r="AC112" s="55" t="n">
        <x:v>0.84</x:v>
      </x:c>
      <x:c r="AD112" s="55" t="n">
        <x:v>0.31</x:v>
      </x:c>
      <x:c r="AE112" s="55" t="n">
        <x:v>0.88</x:v>
      </x:c>
      <x:c r="AF112" s="55" t="n">
        <x:v>0.08</x:v>
      </x:c>
      <x:c r="AG112" s="53" t="str">
        <x:v>NBS China Statistical Yearbook 2025, Table 12-15</x:v>
      </x:c>
      <x:c r="AH112" s="53" t="str">
        <x:v>calibrated reconstruction; not historical author input</x:v>
      </x:c>
    </x:row>
    <x:row r="113" ht="32" hidden="0" customHeight="1">
      <x:c r="A113" s="48" t="str">
        <x:v>x_r14_s4_m2</x:v>
      </x:c>
      <x:c r="B113" s="48" t="str">
        <x:v>r14</x:v>
      </x:c>
      <x:c r="C113" s="48" t="str">
        <x:v>CN-JX</x:v>
      </x:c>
      <x:c r="D113" s="48" t="str">
        <x:v>Jiangxi</x:v>
      </x:c>
      <x:c r="E113" s="48" t="str">
        <x:v>江西</x:v>
      </x:c>
      <x:c r="F113" s="48" t="n">
        <x:v>4</x:v>
      </x:c>
      <x:c r="G113" s="48" t="str">
        <x:v>freshwater_aquaculture</x:v>
      </x:c>
      <x:c r="H113" s="48" t="str">
        <x:v>淡水养殖</x:v>
      </x:c>
      <x:c r="I113" s="48" t="n">
        <x:v>2</x:v>
      </x:c>
      <x:c r="J113" s="48" t="str">
        <x:v>deep_processing</x:v>
      </x:c>
      <x:c r="K113" s="48" t="str">
        <x:v>深加工</x:v>
      </x:c>
      <x:c r="L113" s="54" t="n">
        <x:v>3022000</x:v>
      </x:c>
      <x:c r="M113" s="54" t="n">
        <x:v>2922877.414230377</x:v>
      </x:c>
      <x:c r="N113" s="55" t="n">
        <x:v>0.22</x:v>
      </x:c>
      <x:c r="O113" s="54" t="n">
        <x:v>643033.0311306829</x:v>
      </x:c>
      <x:c r="P113" s="54" t="n">
        <x:v>771639.6373568195</x:v>
      </x:c>
      <x:c r="Q113" s="55" t="n">
        <x:v>0.041209650016989466</x:v>
      </x:c>
      <x:c r="R113" s="55" t="n">
        <x:v>0.3805158963275592</x:v>
      </x:c>
      <x:c r="S113" s="55" t="n">
        <x:v>0.8715447548046666</x:v>
      </x:c>
      <x:c r="T113" s="55" t="n">
        <x:v>1.1473880078873553</x:v>
      </x:c>
      <x:c r="U113" s="55" t="n">
        <x:v>0.4897046852044219</x:v>
      </x:c>
      <x:c r="V113" s="55" t="n">
        <x:v>0.8286033601784524</x:v>
      </x:c>
      <x:c r="W113" s="55" t="n">
        <x:v>0.8391008976553792</x:v>
      </x:c>
      <x:c r="X113" s="55" t="n">
        <x:v>0.8982697307033862</x:v>
      </x:c>
      <x:c r="Y113" s="54" t="n">
        <x:v>457678.41302535526</x:v>
      </x:c>
      <x:c r="Z113" s="54" t="n">
        <x:v>1069213.9594700262</x:v>
      </x:c>
      <x:c r="AA113" s="54" t="n">
        <x:v>183797.20384921407</x:v>
      </x:c>
      <x:c r="AB113" s="55" t="n">
        <x:v>1.06</x:v>
      </x:c>
      <x:c r="AC113" s="55" t="n">
        <x:v>1.2</x:v>
      </x:c>
      <x:c r="AD113" s="55" t="n">
        <x:v>0.39</x:v>
      </x:c>
      <x:c r="AE113" s="55" t="n">
        <x:v>0.91</x:v>
      </x:c>
      <x:c r="AF113" s="55" t="n">
        <x:v>0.08</x:v>
      </x:c>
      <x:c r="AG113" s="53" t="str">
        <x:v>NBS China Statistical Yearbook 2025, Table 12-15</x:v>
      </x:c>
      <x:c r="AH113" s="53" t="str">
        <x:v>calibrated reconstruction; not historical author input</x:v>
      </x:c>
    </x:row>
    <x:row r="114" ht="32" hidden="0" customHeight="1">
      <x:c r="A114" s="48" t="str">
        <x:v>x_r15_s1_m1</x:v>
      </x:c>
      <x:c r="B114" s="48" t="str">
        <x:v>r15</x:v>
      </x:c>
      <x:c r="C114" s="48" t="str">
        <x:v>CN-SD</x:v>
      </x:c>
      <x:c r="D114" s="48" t="str">
        <x:v>Shandong</x:v>
      </x:c>
      <x:c r="E114" s="48" t="str">
        <x:v>山东</x:v>
      </x:c>
      <x:c r="F114" s="48" t="n">
        <x:v>1</x:v>
      </x:c>
      <x:c r="G114" s="48" t="str">
        <x:v>marine_capture</x:v>
      </x:c>
      <x:c r="H114" s="48" t="str">
        <x:v>海洋捕捞</x:v>
      </x:c>
      <x:c r="I114" s="48" t="n">
        <x:v>1</x:v>
      </x:c>
      <x:c r="J114" s="48" t="str">
        <x:v>fresh_sales</x:v>
      </x:c>
      <x:c r="K114" s="48" t="str">
        <x:v>鲜销</x:v>
      </x:c>
      <x:c r="L114" s="54" t="n">
        <x:v>2190000</x:v>
      </x:c>
      <x:c r="M114" s="54" t="n">
        <x:v>2118167.285626911</x:v>
      </x:c>
      <x:c r="N114" s="55" t="n">
        <x:v>0.62</x:v>
      </x:c>
      <x:c r="O114" s="54" t="n">
        <x:v>1313263.717088685</x:v>
      </x:c>
      <x:c r="P114" s="54" t="n">
        <x:v>1575916.4605064217</x:v>
      </x:c>
      <x:c r="Q114" s="55" t="n">
        <x:v>0.1295005096839959</x:v>
      </x:c>
      <x:c r="R114" s="55" t="n">
        <x:v>0.5757731026927012</x:v>
      </x:c>
      <x:c r="S114" s="55" t="n">
        <x:v>1.018468315825144</x:v>
      </x:c>
      <x:c r="T114" s="55" t="n">
        <x:v>0.9818665779404425</x:v>
      </x:c>
      <x:c r="U114" s="55" t="n">
        <x:v>0.33013660372581943</x:v>
      </x:c>
      <x:c r="V114" s="55" t="n">
        <x:v>0.8844521886959632</x:v>
      </x:c>
      <x:c r="W114" s="55" t="n">
        <x:v>0.9513734848065074</x:v>
      </x:c>
      <x:c r="X114" s="55" t="n">
        <x:v>0.8645879545580477</x:v>
      </x:c>
      <x:c r="Y114" s="54" t="n">
        <x:v>1353193.8032391004</x:v>
      </x:c>
      <x:c r="Z114" s="54" t="n">
        <x:v>3587605.743715798</x:v>
      </x:c>
      <x:c r="AA114" s="54" t="n">
        <x:v>3155488.628460765</x:v>
      </x:c>
      <x:c r="AB114" s="55" t="n">
        <x:v>0.65</x:v>
      </x:c>
      <x:c r="AC114" s="55" t="n">
        <x:v>0.62</x:v>
      </x:c>
      <x:c r="AD114" s="55" t="n">
        <x:v>0.29</x:v>
      </x:c>
      <x:c r="AE114" s="55" t="n">
        <x:v>0.28</x:v>
      </x:c>
      <x:c r="AF114" s="55" t="n">
        <x:v>1</x:v>
      </x:c>
      <x:c r="AG114" s="53" t="str">
        <x:v>NBS China Statistical Yearbook 2025, Table 12-15</x:v>
      </x:c>
      <x:c r="AH114" s="53" t="str">
        <x:v>calibrated reconstruction; not historical author input</x:v>
      </x:c>
    </x:row>
    <x:row r="115" ht="32" hidden="0" customHeight="1">
      <x:c r="A115" s="48" t="str">
        <x:v>x_r15_s1_m2</x:v>
      </x:c>
      <x:c r="B115" s="48" t="str">
        <x:v>r15</x:v>
      </x:c>
      <x:c r="C115" s="48" t="str">
        <x:v>CN-SD</x:v>
      </x:c>
      <x:c r="D115" s="48" t="str">
        <x:v>Shandong</x:v>
      </x:c>
      <x:c r="E115" s="48" t="str">
        <x:v>山东</x:v>
      </x:c>
      <x:c r="F115" s="48" t="n">
        <x:v>1</x:v>
      </x:c>
      <x:c r="G115" s="48" t="str">
        <x:v>marine_capture</x:v>
      </x:c>
      <x:c r="H115" s="48" t="str">
        <x:v>海洋捕捞</x:v>
      </x:c>
      <x:c r="I115" s="48" t="n">
        <x:v>2</x:v>
      </x:c>
      <x:c r="J115" s="48" t="str">
        <x:v>deep_processing</x:v>
      </x:c>
      <x:c r="K115" s="48" t="str">
        <x:v>深加工</x:v>
      </x:c>
      <x:c r="L115" s="54" t="n">
        <x:v>2190000</x:v>
      </x:c>
      <x:c r="M115" s="54" t="n">
        <x:v>2118167.285626911</x:v>
      </x:c>
      <x:c r="N115" s="55" t="n">
        <x:v>0.38</x:v>
      </x:c>
      <x:c r="O115" s="54" t="n">
        <x:v>804903.5685382262</x:v>
      </x:c>
      <x:c r="P115" s="54" t="n">
        <x:v>965884.2822458714</x:v>
      </x:c>
      <x:c r="Q115" s="55" t="n">
        <x:v>0.1295005096839959</x:v>
      </x:c>
      <x:c r="R115" s="55" t="n">
        <x:v>0.5757731026927012</x:v>
      </x:c>
      <x:c r="S115" s="55" t="n">
        <x:v>1.018468315825144</x:v>
      </x:c>
      <x:c r="T115" s="55" t="n">
        <x:v>0.9818665779404425</x:v>
      </x:c>
      <x:c r="U115" s="55" t="n">
        <x:v>0.33013660372581943</x:v>
      </x:c>
      <x:c r="V115" s="55" t="n">
        <x:v>0.8844521886959632</x:v>
      </x:c>
      <x:c r="W115" s="55" t="n">
        <x:v>0.9513734848065074</x:v>
      </x:c>
      <x:c r="X115" s="55" t="n">
        <x:v>0.8645879545580477</x:v>
      </x:c>
      <x:c r="Y115" s="54" t="n">
        <x:v>1353193.8032391004</x:v>
      </x:c>
      <x:c r="Z115" s="54" t="n">
        <x:v>3587605.743715798</x:v>
      </x:c>
      <x:c r="AA115" s="54" t="n">
        <x:v>3155488.628460765</x:v>
      </x:c>
      <x:c r="AB115" s="55" t="n">
        <x:v>0.82</x:v>
      </x:c>
      <x:c r="AC115" s="55" t="n">
        <x:v>0.95</x:v>
      </x:c>
      <x:c r="AD115" s="55" t="n">
        <x:v>0.36</x:v>
      </x:c>
      <x:c r="AE115" s="55" t="n">
        <x:v>0.31</x:v>
      </x:c>
      <x:c r="AF115" s="55" t="n">
        <x:v>1</x:v>
      </x:c>
      <x:c r="AG115" s="53" t="str">
        <x:v>NBS China Statistical Yearbook 2025, Table 12-15</x:v>
      </x:c>
      <x:c r="AH115" s="53" t="str">
        <x:v>calibrated reconstruction; not historical author input</x:v>
      </x:c>
    </x:row>
    <x:row r="116" ht="32" hidden="0" customHeight="1">
      <x:c r="A116" s="48" t="str">
        <x:v>x_r15_s2_m1</x:v>
      </x:c>
      <x:c r="B116" s="48" t="str">
        <x:v>r15</x:v>
      </x:c>
      <x:c r="C116" s="48" t="str">
        <x:v>CN-SD</x:v>
      </x:c>
      <x:c r="D116" s="48" t="str">
        <x:v>Shandong</x:v>
      </x:c>
      <x:c r="E116" s="48" t="str">
        <x:v>山东</x:v>
      </x:c>
      <x:c r="F116" s="48" t="n">
        <x:v>2</x:v>
      </x:c>
      <x:c r="G116" s="48" t="str">
        <x:v>freshwater_capture</x:v>
      </x:c>
      <x:c r="H116" s="48" t="str">
        <x:v>淡水捕捞</x:v>
      </x:c>
      <x:c r="I116" s="48" t="n">
        <x:v>1</x:v>
      </x:c>
      <x:c r="J116" s="48" t="str">
        <x:v>fresh_sales</x:v>
      </x:c>
      <x:c r="K116" s="48" t="str">
        <x:v>鲜销</x:v>
      </x:c>
      <x:c r="L116" s="54" t="n">
        <x:v>108000</x:v>
      </x:c>
      <x:c r="M116" s="54" t="n">
        <x:v>104457.5647706422</x:v>
      </x:c>
      <x:c r="N116" s="55" t="n">
        <x:v>0.67</x:v>
      </x:c>
      <x:c r="O116" s="54" t="n">
        <x:v>69986.56839633027</x:v>
      </x:c>
      <x:c r="P116" s="54" t="n">
        <x:v>83983.88207559632</x:v>
      </x:c>
      <x:c r="Q116" s="55" t="n">
        <x:v>0.1295005096839959</x:v>
      </x:c>
      <x:c r="R116" s="55" t="n">
        <x:v>0.5757731026927012</x:v>
      </x:c>
      <x:c r="S116" s="55" t="n">
        <x:v>1.018468315825144</x:v>
      </x:c>
      <x:c r="T116" s="55" t="n">
        <x:v>0.9818665779404425</x:v>
      </x:c>
      <x:c r="U116" s="55" t="n">
        <x:v>0.33013660372581943</x:v>
      </x:c>
      <x:c r="V116" s="55" t="n">
        <x:v>0.8844521886959632</x:v>
      </x:c>
      <x:c r="W116" s="55" t="n">
        <x:v>0.9513734848065074</x:v>
      </x:c>
      <x:c r="X116" s="55" t="n">
        <x:v>0.8645879545580477</x:v>
      </x:c>
      <x:c r="Y116" s="54" t="n">
        <x:v>1353193.8032391004</x:v>
      </x:c>
      <x:c r="Z116" s="54" t="n">
        <x:v>3587605.743715798</x:v>
      </x:c>
      <x:c r="AA116" s="54" t="n">
        <x:v>3155488.628460765</x:v>
      </x:c>
      <x:c r="AB116" s="55" t="n">
        <x:v>0.7</x:v>
      </x:c>
      <x:c r="AC116" s="55" t="n">
        <x:v>0.67</x:v>
      </x:c>
      <x:c r="AD116" s="55" t="n">
        <x:v>0.26</x:v>
      </x:c>
      <x:c r="AE116" s="55" t="n">
        <x:v>0.42</x:v>
      </x:c>
      <x:c r="AF116" s="55" t="n">
        <x:v>0.7</x:v>
      </x:c>
      <x:c r="AG116" s="53" t="str">
        <x:v>NBS China Statistical Yearbook 2025, Table 12-15</x:v>
      </x:c>
      <x:c r="AH116" s="53" t="str">
        <x:v>calibrated reconstruction; not historical author input</x:v>
      </x:c>
    </x:row>
    <x:row r="117" ht="32" hidden="0" customHeight="1">
      <x:c r="A117" s="48" t="str">
        <x:v>x_r15_s2_m2</x:v>
      </x:c>
      <x:c r="B117" s="48" t="str">
        <x:v>r15</x:v>
      </x:c>
      <x:c r="C117" s="48" t="str">
        <x:v>CN-SD</x:v>
      </x:c>
      <x:c r="D117" s="48" t="str">
        <x:v>Shandong</x:v>
      </x:c>
      <x:c r="E117" s="48" t="str">
        <x:v>山东</x:v>
      </x:c>
      <x:c r="F117" s="48" t="n">
        <x:v>2</x:v>
      </x:c>
      <x:c r="G117" s="48" t="str">
        <x:v>freshwater_capture</x:v>
      </x:c>
      <x:c r="H117" s="48" t="str">
        <x:v>淡水捕捞</x:v>
      </x:c>
      <x:c r="I117" s="48" t="n">
        <x:v>2</x:v>
      </x:c>
      <x:c r="J117" s="48" t="str">
        <x:v>deep_processing</x:v>
      </x:c>
      <x:c r="K117" s="48" t="str">
        <x:v>深加工</x:v>
      </x:c>
      <x:c r="L117" s="54" t="n">
        <x:v>108000</x:v>
      </x:c>
      <x:c r="M117" s="54" t="n">
        <x:v>104457.5647706422</x:v>
      </x:c>
      <x:c r="N117" s="55" t="n">
        <x:v>0.33</x:v>
      </x:c>
      <x:c r="O117" s="54" t="n">
        <x:v>34470.99637431193</x:v>
      </x:c>
      <x:c r="P117" s="54" t="n">
        <x:v>41365.19564917431</x:v>
      </x:c>
      <x:c r="Q117" s="55" t="n">
        <x:v>0.1295005096839959</x:v>
      </x:c>
      <x:c r="R117" s="55" t="n">
        <x:v>0.5757731026927012</x:v>
      </x:c>
      <x:c r="S117" s="55" t="n">
        <x:v>1.018468315825144</x:v>
      </x:c>
      <x:c r="T117" s="55" t="n">
        <x:v>0.9818665779404425</x:v>
      </x:c>
      <x:c r="U117" s="55" t="n">
        <x:v>0.33013660372581943</x:v>
      </x:c>
      <x:c r="V117" s="55" t="n">
        <x:v>0.8844521886959632</x:v>
      </x:c>
      <x:c r="W117" s="55" t="n">
        <x:v>0.9513734848065074</x:v>
      </x:c>
      <x:c r="X117" s="55" t="n">
        <x:v>0.8645879545580477</x:v>
      </x:c>
      <x:c r="Y117" s="54" t="n">
        <x:v>1353193.8032391004</x:v>
      </x:c>
      <x:c r="Z117" s="54" t="n">
        <x:v>3587605.743715798</x:v>
      </x:c>
      <x:c r="AA117" s="54" t="n">
        <x:v>3155488.628460765</x:v>
      </x:c>
      <x:c r="AB117" s="55" t="n">
        <x:v>0.86</x:v>
      </x:c>
      <x:c r="AC117" s="55" t="n">
        <x:v>0.99</x:v>
      </x:c>
      <x:c r="AD117" s="55" t="n">
        <x:v>0.34</x:v>
      </x:c>
      <x:c r="AE117" s="55" t="n">
        <x:v>0.45</x:v>
      </x:c>
      <x:c r="AF117" s="55" t="n">
        <x:v>0.7</x:v>
      </x:c>
      <x:c r="AG117" s="53" t="str">
        <x:v>NBS China Statistical Yearbook 2025, Table 12-15</x:v>
      </x:c>
      <x:c r="AH117" s="53" t="str">
        <x:v>calibrated reconstruction; not historical author input</x:v>
      </x:c>
    </x:row>
    <x:row r="118" ht="32" hidden="0" customHeight="1">
      <x:c r="A118" s="48" t="str">
        <x:v>x_r15_s3_m1</x:v>
      </x:c>
      <x:c r="B118" s="48" t="str">
        <x:v>r15</x:v>
      </x:c>
      <x:c r="C118" s="48" t="str">
        <x:v>CN-SD</x:v>
      </x:c>
      <x:c r="D118" s="48" t="str">
        <x:v>Shandong</x:v>
      </x:c>
      <x:c r="E118" s="48" t="str">
        <x:v>山东</x:v>
      </x:c>
      <x:c r="F118" s="48" t="n">
        <x:v>3</x:v>
      </x:c>
      <x:c r="G118" s="48" t="str">
        <x:v>marine_aquaculture</x:v>
      </x:c>
      <x:c r="H118" s="48" t="str">
        <x:v>海水养殖</x:v>
      </x:c>
      <x:c r="I118" s="48" t="n">
        <x:v>1</x:v>
      </x:c>
      <x:c r="J118" s="48" t="str">
        <x:v>fresh_sales</x:v>
      </x:c>
      <x:c r="K118" s="48" t="str">
        <x:v>鲜销</x:v>
      </x:c>
      <x:c r="L118" s="54" t="n">
        <x:v>6063000</x:v>
      </x:c>
      <x:c r="M118" s="54" t="n">
        <x:v>5864131.622262997</x:v>
      </x:c>
      <x:c r="N118" s="55" t="n">
        <x:v>0.74</x:v>
      </x:c>
      <x:c r="O118" s="54" t="n">
        <x:v>4339457.400474617</x:v>
      </x:c>
      <x:c r="P118" s="54" t="n">
        <x:v>5207348.880569541</x:v>
      </x:c>
      <x:c r="Q118" s="55" t="n">
        <x:v>0.1295005096839959</x:v>
      </x:c>
      <x:c r="R118" s="55" t="n">
        <x:v>0.5757731026927012</x:v>
      </x:c>
      <x:c r="S118" s="55" t="n">
        <x:v>1.018468315825144</x:v>
      </x:c>
      <x:c r="T118" s="55" t="n">
        <x:v>0.9818665779404425</x:v>
      </x:c>
      <x:c r="U118" s="55" t="n">
        <x:v>0.33013660372581943</x:v>
      </x:c>
      <x:c r="V118" s="55" t="n">
        <x:v>0.8844521886959632</x:v>
      </x:c>
      <x:c r="W118" s="55" t="n">
        <x:v>0.9513734848065074</x:v>
      </x:c>
      <x:c r="X118" s="55" t="n">
        <x:v>0.8645879545580477</x:v>
      </x:c>
      <x:c r="Y118" s="54" t="n">
        <x:v>1353193.8032391004</x:v>
      </x:c>
      <x:c r="Z118" s="54" t="n">
        <x:v>3587605.743715798</x:v>
      </x:c>
      <x:c r="AA118" s="54" t="n">
        <x:v>3155488.628460765</x:v>
      </x:c>
      <x:c r="AB118" s="55" t="n">
        <x:v>0.84</x:v>
      </x:c>
      <x:c r="AC118" s="55" t="n">
        <x:v>0.8</x:v>
      </x:c>
      <x:c r="AD118" s="55" t="n">
        <x:v>0.33</x:v>
      </x:c>
      <x:c r="AE118" s="55" t="n">
        <x:v>0.78</x:v>
      </x:c>
      <x:c r="AF118" s="55" t="n">
        <x:v>0.11</x:v>
      </x:c>
      <x:c r="AG118" s="53" t="str">
        <x:v>NBS China Statistical Yearbook 2025, Table 12-15</x:v>
      </x:c>
      <x:c r="AH118" s="53" t="str">
        <x:v>calibrated reconstruction; not historical author input</x:v>
      </x:c>
    </x:row>
    <x:row r="119" ht="32" hidden="0" customHeight="1">
      <x:c r="A119" s="48" t="str">
        <x:v>x_r15_s3_m2</x:v>
      </x:c>
      <x:c r="B119" s="48" t="str">
        <x:v>r15</x:v>
      </x:c>
      <x:c r="C119" s="48" t="str">
        <x:v>CN-SD</x:v>
      </x:c>
      <x:c r="D119" s="48" t="str">
        <x:v>Shandong</x:v>
      </x:c>
      <x:c r="E119" s="48" t="str">
        <x:v>山东</x:v>
      </x:c>
      <x:c r="F119" s="48" t="n">
        <x:v>3</x:v>
      </x:c>
      <x:c r="G119" s="48" t="str">
        <x:v>marine_aquaculture</x:v>
      </x:c>
      <x:c r="H119" s="48" t="str">
        <x:v>海水养殖</x:v>
      </x:c>
      <x:c r="I119" s="48" t="n">
        <x:v>2</x:v>
      </x:c>
      <x:c r="J119" s="48" t="str">
        <x:v>deep_processing</x:v>
      </x:c>
      <x:c r="K119" s="48" t="str">
        <x:v>深加工</x:v>
      </x:c>
      <x:c r="L119" s="54" t="n">
        <x:v>6063000</x:v>
      </x:c>
      <x:c r="M119" s="54" t="n">
        <x:v>5864131.622262997</x:v>
      </x:c>
      <x:c r="N119" s="55" t="n">
        <x:v>0.26</x:v>
      </x:c>
      <x:c r="O119" s="54" t="n">
        <x:v>1524674.2217883791</x:v>
      </x:c>
      <x:c r="P119" s="54" t="n">
        <x:v>1829609.066146055</x:v>
      </x:c>
      <x:c r="Q119" s="55" t="n">
        <x:v>0.1295005096839959</x:v>
      </x:c>
      <x:c r="R119" s="55" t="n">
        <x:v>0.5757731026927012</x:v>
      </x:c>
      <x:c r="S119" s="55" t="n">
        <x:v>1.018468315825144</x:v>
      </x:c>
      <x:c r="T119" s="55" t="n">
        <x:v>0.9818665779404425</x:v>
      </x:c>
      <x:c r="U119" s="55" t="n">
        <x:v>0.33013660372581943</x:v>
      </x:c>
      <x:c r="V119" s="55" t="n">
        <x:v>0.8844521886959632</x:v>
      </x:c>
      <x:c r="W119" s="55" t="n">
        <x:v>0.9513734848065074</x:v>
      </x:c>
      <x:c r="X119" s="55" t="n">
        <x:v>0.8645879545580477</x:v>
      </x:c>
      <x:c r="Y119" s="54" t="n">
        <x:v>1353193.8032391004</x:v>
      </x:c>
      <x:c r="Z119" s="54" t="n">
        <x:v>3587605.743715798</x:v>
      </x:c>
      <x:c r="AA119" s="54" t="n">
        <x:v>3155488.628460765</x:v>
      </x:c>
      <x:c r="AB119" s="55" t="n">
        <x:v>1.02</x:v>
      </x:c>
      <x:c r="AC119" s="55" t="n">
        <x:v>1.16</x:v>
      </x:c>
      <x:c r="AD119" s="55" t="n">
        <x:v>0.41</x:v>
      </x:c>
      <x:c r="AE119" s="55" t="n">
        <x:v>0.81</x:v>
      </x:c>
      <x:c r="AF119" s="55" t="n">
        <x:v>0.11</x:v>
      </x:c>
      <x:c r="AG119" s="53" t="str">
        <x:v>NBS China Statistical Yearbook 2025, Table 12-15</x:v>
      </x:c>
      <x:c r="AH119" s="53" t="str">
        <x:v>calibrated reconstruction; not historical author input</x:v>
      </x:c>
    </x:row>
    <x:row r="120" ht="32" hidden="0" customHeight="1">
      <x:c r="A120" s="48" t="str">
        <x:v>x_r15_s4_m1</x:v>
      </x:c>
      <x:c r="B120" s="48" t="str">
        <x:v>r15</x:v>
      </x:c>
      <x:c r="C120" s="48" t="str">
        <x:v>CN-SD</x:v>
      </x:c>
      <x:c r="D120" s="48" t="str">
        <x:v>Shandong</x:v>
      </x:c>
      <x:c r="E120" s="48" t="str">
        <x:v>山东</x:v>
      </x:c>
      <x:c r="F120" s="48" t="n">
        <x:v>4</x:v>
      </x:c>
      <x:c r="G120" s="48" t="str">
        <x:v>freshwater_aquaculture</x:v>
      </x:c>
      <x:c r="H120" s="48" t="str">
        <x:v>淡水养殖</x:v>
      </x:c>
      <x:c r="I120" s="48" t="n">
        <x:v>1</x:v>
      </x:c>
      <x:c r="J120" s="48" t="str">
        <x:v>fresh_sales</x:v>
      </x:c>
      <x:c r="K120" s="48" t="str">
        <x:v>鲜销</x:v>
      </x:c>
      <x:c r="L120" s="54" t="n">
        <x:v>1167000</x:v>
      </x:c>
      <x:c r="M120" s="54" t="n">
        <x:v>1128722.019327217</x:v>
      </x:c>
      <x:c r="N120" s="55" t="n">
        <x:v>0.78</x:v>
      </x:c>
      <x:c r="O120" s="54" t="n">
        <x:v>880403.1750752293</x:v>
      </x:c>
      <x:c r="P120" s="54" t="n">
        <x:v>1056483.810090275</x:v>
      </x:c>
      <x:c r="Q120" s="55" t="n">
        <x:v>0.1295005096839959</x:v>
      </x:c>
      <x:c r="R120" s="55" t="n">
        <x:v>0.5757731026927012</x:v>
      </x:c>
      <x:c r="S120" s="55" t="n">
        <x:v>1.018468315825144</x:v>
      </x:c>
      <x:c r="T120" s="55" t="n">
        <x:v>0.9818665779404425</x:v>
      </x:c>
      <x:c r="U120" s="55" t="n">
        <x:v>0.33013660372581943</x:v>
      </x:c>
      <x:c r="V120" s="55" t="n">
        <x:v>0.8844521886959632</x:v>
      </x:c>
      <x:c r="W120" s="55" t="n">
        <x:v>0.9513734848065074</x:v>
      </x:c>
      <x:c r="X120" s="55" t="n">
        <x:v>0.8645879545580477</x:v>
      </x:c>
      <x:c r="Y120" s="54" t="n">
        <x:v>1353193.8032391004</x:v>
      </x:c>
      <x:c r="Z120" s="54" t="n">
        <x:v>3587605.743715798</x:v>
      </x:c>
      <x:c r="AA120" s="54" t="n">
        <x:v>3155488.628460765</x:v>
      </x:c>
      <x:c r="AB120" s="55" t="n">
        <x:v>0.88</x:v>
      </x:c>
      <x:c r="AC120" s="55" t="n">
        <x:v>0.84</x:v>
      </x:c>
      <x:c r="AD120" s="55" t="n">
        <x:v>0.31</x:v>
      </x:c>
      <x:c r="AE120" s="55" t="n">
        <x:v>0.88</x:v>
      </x:c>
      <x:c r="AF120" s="55" t="n">
        <x:v>0.08</x:v>
      </x:c>
      <x:c r="AG120" s="53" t="str">
        <x:v>NBS China Statistical Yearbook 2025, Table 12-15</x:v>
      </x:c>
      <x:c r="AH120" s="53" t="str">
        <x:v>calibrated reconstruction; not historical author input</x:v>
      </x:c>
    </x:row>
    <x:row r="121" ht="32" hidden="0" customHeight="1">
      <x:c r="A121" s="48" t="str">
        <x:v>x_r15_s4_m2</x:v>
      </x:c>
      <x:c r="B121" s="48" t="str">
        <x:v>r15</x:v>
      </x:c>
      <x:c r="C121" s="48" t="str">
        <x:v>CN-SD</x:v>
      </x:c>
      <x:c r="D121" s="48" t="str">
        <x:v>Shandong</x:v>
      </x:c>
      <x:c r="E121" s="48" t="str">
        <x:v>山东</x:v>
      </x:c>
      <x:c r="F121" s="48" t="n">
        <x:v>4</x:v>
      </x:c>
      <x:c r="G121" s="48" t="str">
        <x:v>freshwater_aquaculture</x:v>
      </x:c>
      <x:c r="H121" s="48" t="str">
        <x:v>淡水养殖</x:v>
      </x:c>
      <x:c r="I121" s="48" t="n">
        <x:v>2</x:v>
      </x:c>
      <x:c r="J121" s="48" t="str">
        <x:v>deep_processing</x:v>
      </x:c>
      <x:c r="K121" s="48" t="str">
        <x:v>深加工</x:v>
      </x:c>
      <x:c r="L121" s="54" t="n">
        <x:v>1167000</x:v>
      </x:c>
      <x:c r="M121" s="54" t="n">
        <x:v>1128722.019327217</x:v>
      </x:c>
      <x:c r="N121" s="55" t="n">
        <x:v>0.22</x:v>
      </x:c>
      <x:c r="O121" s="54" t="n">
        <x:v>248318.84425198776</x:v>
      </x:c>
      <x:c r="P121" s="54" t="n">
        <x:v>297982.6131023853</x:v>
      </x:c>
      <x:c r="Q121" s="55" t="n">
        <x:v>0.1295005096839959</x:v>
      </x:c>
      <x:c r="R121" s="55" t="n">
        <x:v>0.5757731026927012</x:v>
      </x:c>
      <x:c r="S121" s="55" t="n">
        <x:v>1.018468315825144</x:v>
      </x:c>
      <x:c r="T121" s="55" t="n">
        <x:v>0.9818665779404425</x:v>
      </x:c>
      <x:c r="U121" s="55" t="n">
        <x:v>0.33013660372581943</x:v>
      </x:c>
      <x:c r="V121" s="55" t="n">
        <x:v>0.8844521886959632</x:v>
      </x:c>
      <x:c r="W121" s="55" t="n">
        <x:v>0.9513734848065074</x:v>
      </x:c>
      <x:c r="X121" s="55" t="n">
        <x:v>0.8645879545580477</x:v>
      </x:c>
      <x:c r="Y121" s="54" t="n">
        <x:v>1353193.8032391004</x:v>
      </x:c>
      <x:c r="Z121" s="54" t="n">
        <x:v>3587605.743715798</x:v>
      </x:c>
      <x:c r="AA121" s="54" t="n">
        <x:v>3155488.628460765</x:v>
      </x:c>
      <x:c r="AB121" s="55" t="n">
        <x:v>1.06</x:v>
      </x:c>
      <x:c r="AC121" s="55" t="n">
        <x:v>1.2</x:v>
      </x:c>
      <x:c r="AD121" s="55" t="n">
        <x:v>0.39</x:v>
      </x:c>
      <x:c r="AE121" s="55" t="n">
        <x:v>0.91</x:v>
      </x:c>
      <x:c r="AF121" s="55" t="n">
        <x:v>0.08</x:v>
      </x:c>
      <x:c r="AG121" s="53" t="str">
        <x:v>NBS China Statistical Yearbook 2025, Table 12-15</x:v>
      </x:c>
      <x:c r="AH121" s="53" t="str">
        <x:v>calibrated reconstruction; not historical author input</x:v>
      </x:c>
    </x:row>
    <x:row r="122" ht="32" hidden="0" customHeight="1">
      <x:c r="A122" s="48" t="str">
        <x:v>x_r16_s1_m1</x:v>
      </x:c>
      <x:c r="B122" s="48" t="str">
        <x:v>r16</x:v>
      </x:c>
      <x:c r="C122" s="48" t="str">
        <x:v>CN-HA</x:v>
      </x:c>
      <x:c r="D122" s="48" t="str">
        <x:v>Henan</x:v>
      </x:c>
      <x:c r="E122" s="48" t="str">
        <x:v>河南</x:v>
      </x:c>
      <x:c r="F122" s="48" t="n">
        <x:v>1</x:v>
      </x:c>
      <x:c r="G122" s="48" t="str">
        <x:v>marine_capture</x:v>
      </x:c>
      <x:c r="H122" s="48" t="str">
        <x:v>海洋捕捞</x:v>
      </x:c>
      <x:c r="I122" s="48" t="n">
        <x:v>1</x:v>
      </x:c>
      <x:c r="J122" s="48" t="str">
        <x:v>fresh_sales</x:v>
      </x:c>
      <x:c r="K122" s="48" t="str">
        <x:v>鲜销</x:v>
      </x:c>
      <x:c r="L122" s="54" t="n">
        <x:v>0</x:v>
      </x:c>
      <x:c r="M122" s="54" t="n">
        <x:v>0</x:v>
      </x:c>
      <x:c r="N122" s="55" t="n">
        <x:v>0.62</x:v>
      </x:c>
      <x:c r="O122" s="54" t="n">
        <x:v>0</x:v>
      </x:c>
      <x:c r="P122" s="54" t="n">
        <x:v>0</x:v>
      </x:c>
      <x:c r="Q122" s="55" t="n">
        <x:v>0.01364593951749915</x:v>
      </x:c>
      <x:c r="R122" s="55" t="n">
        <x:v>0.30125780439425703</x:v>
      </x:c>
      <x:c r="S122" s="55" t="n">
        <x:v>0.7637120588662439</x:v>
      </x:c>
      <x:c r="T122" s="55" t="n">
        <x:v>1.3093940162271804</x:v>
      </x:c>
      <x:c r="U122" s="55" t="n">
        <x:v>0.37936273739681037</x:v>
      </x:c>
      <x:c r="V122" s="55" t="n">
        <x:v>0.8672230419111164</x:v>
      </x:c>
      <x:c r="W122" s="55" t="n">
        <x:v>0.9081351775837925</x:v>
      </x:c>
      <x:c r="X122" s="55" t="n">
        <x:v>0.8775594467248622</x:v>
      </x:c>
      <x:c r="Y122" s="54" t="n">
        <x:v>324988.1039437207</x:v>
      </x:c>
      <x:c r="Z122" s="54" t="n">
        <x:v>368801.84178739024</x:v>
      </x:c>
      <x:c r="AA122" s="54" t="n">
        <x:v>183342.2602753299</x:v>
      </x:c>
      <x:c r="AB122" s="55" t="n">
        <x:v>0.65</x:v>
      </x:c>
      <x:c r="AC122" s="55" t="n">
        <x:v>0.62</x:v>
      </x:c>
      <x:c r="AD122" s="55" t="n">
        <x:v>0.29</x:v>
      </x:c>
      <x:c r="AE122" s="55" t="n">
        <x:v>0.28</x:v>
      </x:c>
      <x:c r="AF122" s="55" t="n">
        <x:v>1</x:v>
      </x:c>
      <x:c r="AG122" s="53" t="str">
        <x:v>NBS China Statistical Yearbook 2025, Table 12-15</x:v>
      </x:c>
      <x:c r="AH122" s="53" t="str">
        <x:v>calibrated reconstruction; not historical author input</x:v>
      </x:c>
    </x:row>
    <x:row r="123" ht="32" hidden="0" customHeight="1">
      <x:c r="A123" s="48" t="str">
        <x:v>x_r16_s1_m2</x:v>
      </x:c>
      <x:c r="B123" s="48" t="str">
        <x:v>r16</x:v>
      </x:c>
      <x:c r="C123" s="48" t="str">
        <x:v>CN-HA</x:v>
      </x:c>
      <x:c r="D123" s="48" t="str">
        <x:v>Henan</x:v>
      </x:c>
      <x:c r="E123" s="48" t="str">
        <x:v>河南</x:v>
      </x:c>
      <x:c r="F123" s="48" t="n">
        <x:v>1</x:v>
      </x:c>
      <x:c r="G123" s="48" t="str">
        <x:v>marine_capture</x:v>
      </x:c>
      <x:c r="H123" s="48" t="str">
        <x:v>海洋捕捞</x:v>
      </x:c>
      <x:c r="I123" s="48" t="n">
        <x:v>2</x:v>
      </x:c>
      <x:c r="J123" s="48" t="str">
        <x:v>deep_processing</x:v>
      </x:c>
      <x:c r="K123" s="48" t="str">
        <x:v>深加工</x:v>
      </x:c>
      <x:c r="L123" s="54" t="n">
        <x:v>0</x:v>
      </x:c>
      <x:c r="M123" s="54" t="n">
        <x:v>0</x:v>
      </x:c>
      <x:c r="N123" s="55" t="n">
        <x:v>0.38</x:v>
      </x:c>
      <x:c r="O123" s="54" t="n">
        <x:v>0</x:v>
      </x:c>
      <x:c r="P123" s="54" t="n">
        <x:v>0</x:v>
      </x:c>
      <x:c r="Q123" s="55" t="n">
        <x:v>0.01364593951749915</x:v>
      </x:c>
      <x:c r="R123" s="55" t="n">
        <x:v>0.30125780439425703</x:v>
      </x:c>
      <x:c r="S123" s="55" t="n">
        <x:v>0.7637120588662439</x:v>
      </x:c>
      <x:c r="T123" s="55" t="n">
        <x:v>1.3093940162271804</x:v>
      </x:c>
      <x:c r="U123" s="55" t="n">
        <x:v>0.37936273739681037</x:v>
      </x:c>
      <x:c r="V123" s="55" t="n">
        <x:v>0.8672230419111164</x:v>
      </x:c>
      <x:c r="W123" s="55" t="n">
        <x:v>0.9081351775837925</x:v>
      </x:c>
      <x:c r="X123" s="55" t="n">
        <x:v>0.8775594467248622</x:v>
      </x:c>
      <x:c r="Y123" s="54" t="n">
        <x:v>324988.1039437207</x:v>
      </x:c>
      <x:c r="Z123" s="54" t="n">
        <x:v>368801.84178739024</x:v>
      </x:c>
      <x:c r="AA123" s="54" t="n">
        <x:v>183342.2602753299</x:v>
      </x:c>
      <x:c r="AB123" s="55" t="n">
        <x:v>0.82</x:v>
      </x:c>
      <x:c r="AC123" s="55" t="n">
        <x:v>0.95</x:v>
      </x:c>
      <x:c r="AD123" s="55" t="n">
        <x:v>0.36</x:v>
      </x:c>
      <x:c r="AE123" s="55" t="n">
        <x:v>0.31</x:v>
      </x:c>
      <x:c r="AF123" s="55" t="n">
        <x:v>1</x:v>
      </x:c>
      <x:c r="AG123" s="53" t="str">
        <x:v>NBS China Statistical Yearbook 2025, Table 12-15</x:v>
      </x:c>
      <x:c r="AH123" s="53" t="str">
        <x:v>calibrated reconstruction; not historical author input</x:v>
      </x:c>
    </x:row>
    <x:row r="124" ht="32" hidden="0" customHeight="1">
      <x:c r="A124" s="48" t="str">
        <x:v>x_r16_s2_m1</x:v>
      </x:c>
      <x:c r="B124" s="48" t="str">
        <x:v>r16</x:v>
      </x:c>
      <x:c r="C124" s="48" t="str">
        <x:v>CN-HA</x:v>
      </x:c>
      <x:c r="D124" s="48" t="str">
        <x:v>Henan</x:v>
      </x:c>
      <x:c r="E124" s="48" t="str">
        <x:v>河南</x:v>
      </x:c>
      <x:c r="F124" s="48" t="n">
        <x:v>2</x:v>
      </x:c>
      <x:c r="G124" s="48" t="str">
        <x:v>freshwater_capture</x:v>
      </x:c>
      <x:c r="H124" s="48" t="str">
        <x:v>淡水捕捞</x:v>
      </x:c>
      <x:c r="I124" s="48" t="n">
        <x:v>1</x:v>
      </x:c>
      <x:c r="J124" s="48" t="str">
        <x:v>fresh_sales</x:v>
      </x:c>
      <x:c r="K124" s="48" t="str">
        <x:v>鲜销</x:v>
      </x:c>
      <x:c r="L124" s="54" t="n">
        <x:v>111000</x:v>
      </x:c>
      <x:c r="M124" s="54" t="n">
        <x:v>107359.16379204893</x:v>
      </x:c>
      <x:c r="N124" s="55" t="n">
        <x:v>0.67</x:v>
      </x:c>
      <x:c r="O124" s="54" t="n">
        <x:v>71930.63974067279</x:v>
      </x:c>
      <x:c r="P124" s="54" t="n">
        <x:v>86316.76768880735</x:v>
      </x:c>
      <x:c r="Q124" s="55" t="n">
        <x:v>0.01364593951749915</x:v>
      </x:c>
      <x:c r="R124" s="55" t="n">
        <x:v>0.30125780439425703</x:v>
      </x:c>
      <x:c r="S124" s="55" t="n">
        <x:v>0.7637120588662439</x:v>
      </x:c>
      <x:c r="T124" s="55" t="n">
        <x:v>1.3093940162271804</x:v>
      </x:c>
      <x:c r="U124" s="55" t="n">
        <x:v>0.37936273739681037</x:v>
      </x:c>
      <x:c r="V124" s="55" t="n">
        <x:v>0.8672230419111164</x:v>
      </x:c>
      <x:c r="W124" s="55" t="n">
        <x:v>0.9081351775837925</x:v>
      </x:c>
      <x:c r="X124" s="55" t="n">
        <x:v>0.8775594467248622</x:v>
      </x:c>
      <x:c r="Y124" s="54" t="n">
        <x:v>324988.1039437207</x:v>
      </x:c>
      <x:c r="Z124" s="54" t="n">
        <x:v>368801.84178739024</x:v>
      </x:c>
      <x:c r="AA124" s="54" t="n">
        <x:v>183342.2602753299</x:v>
      </x:c>
      <x:c r="AB124" s="55" t="n">
        <x:v>0.7</x:v>
      </x:c>
      <x:c r="AC124" s="55" t="n">
        <x:v>0.67</x:v>
      </x:c>
      <x:c r="AD124" s="55" t="n">
        <x:v>0.26</x:v>
      </x:c>
      <x:c r="AE124" s="55" t="n">
        <x:v>0.42</x:v>
      </x:c>
      <x:c r="AF124" s="55" t="n">
        <x:v>0.7</x:v>
      </x:c>
      <x:c r="AG124" s="53" t="str">
        <x:v>NBS China Statistical Yearbook 2025, Table 12-15</x:v>
      </x:c>
      <x:c r="AH124" s="53" t="str">
        <x:v>calibrated reconstruction; not historical author input</x:v>
      </x:c>
    </x:row>
    <x:row r="125" ht="32" hidden="0" customHeight="1">
      <x:c r="A125" s="48" t="str">
        <x:v>x_r16_s2_m2</x:v>
      </x:c>
      <x:c r="B125" s="48" t="str">
        <x:v>r16</x:v>
      </x:c>
      <x:c r="C125" s="48" t="str">
        <x:v>CN-HA</x:v>
      </x:c>
      <x:c r="D125" s="48" t="str">
        <x:v>Henan</x:v>
      </x:c>
      <x:c r="E125" s="48" t="str">
        <x:v>河南</x:v>
      </x:c>
      <x:c r="F125" s="48" t="n">
        <x:v>2</x:v>
      </x:c>
      <x:c r="G125" s="48" t="str">
        <x:v>freshwater_capture</x:v>
      </x:c>
      <x:c r="H125" s="48" t="str">
        <x:v>淡水捕捞</x:v>
      </x:c>
      <x:c r="I125" s="48" t="n">
        <x:v>2</x:v>
      </x:c>
      <x:c r="J125" s="48" t="str">
        <x:v>deep_processing</x:v>
      </x:c>
      <x:c r="K125" s="48" t="str">
        <x:v>深加工</x:v>
      </x:c>
      <x:c r="L125" s="54" t="n">
        <x:v>111000</x:v>
      </x:c>
      <x:c r="M125" s="54" t="n">
        <x:v>107359.16379204893</x:v>
      </x:c>
      <x:c r="N125" s="55" t="n">
        <x:v>0.33</x:v>
      </x:c>
      <x:c r="O125" s="54" t="n">
        <x:v>35428.524051376146</x:v>
      </x:c>
      <x:c r="P125" s="54" t="n">
        <x:v>42514.228861651376</x:v>
      </x:c>
      <x:c r="Q125" s="55" t="n">
        <x:v>0.01364593951749915</x:v>
      </x:c>
      <x:c r="R125" s="55" t="n">
        <x:v>0.30125780439425703</x:v>
      </x:c>
      <x:c r="S125" s="55" t="n">
        <x:v>0.7637120588662439</x:v>
      </x:c>
      <x:c r="T125" s="55" t="n">
        <x:v>1.3093940162271804</x:v>
      </x:c>
      <x:c r="U125" s="55" t="n">
        <x:v>0.37936273739681037</x:v>
      </x:c>
      <x:c r="V125" s="55" t="n">
        <x:v>0.8672230419111164</x:v>
      </x:c>
      <x:c r="W125" s="55" t="n">
        <x:v>0.9081351775837925</x:v>
      </x:c>
      <x:c r="X125" s="55" t="n">
        <x:v>0.8775594467248622</x:v>
      </x:c>
      <x:c r="Y125" s="54" t="n">
        <x:v>324988.1039437207</x:v>
      </x:c>
      <x:c r="Z125" s="54" t="n">
        <x:v>368801.84178739024</x:v>
      </x:c>
      <x:c r="AA125" s="54" t="n">
        <x:v>183342.2602753299</x:v>
      </x:c>
      <x:c r="AB125" s="55" t="n">
        <x:v>0.86</x:v>
      </x:c>
      <x:c r="AC125" s="55" t="n">
        <x:v>0.99</x:v>
      </x:c>
      <x:c r="AD125" s="55" t="n">
        <x:v>0.34</x:v>
      </x:c>
      <x:c r="AE125" s="55" t="n">
        <x:v>0.45</x:v>
      </x:c>
      <x:c r="AF125" s="55" t="n">
        <x:v>0.7</x:v>
      </x:c>
      <x:c r="AG125" s="53" t="str">
        <x:v>NBS China Statistical Yearbook 2025, Table 12-15</x:v>
      </x:c>
      <x:c r="AH125" s="53" t="str">
        <x:v>calibrated reconstruction; not historical author input</x:v>
      </x:c>
    </x:row>
    <x:row r="126" ht="32" hidden="0" customHeight="1">
      <x:c r="A126" s="48" t="str">
        <x:v>x_r16_s3_m1</x:v>
      </x:c>
      <x:c r="B126" s="48" t="str">
        <x:v>r16</x:v>
      </x:c>
      <x:c r="C126" s="48" t="str">
        <x:v>CN-HA</x:v>
      </x:c>
      <x:c r="D126" s="48" t="str">
        <x:v>Henan</x:v>
      </x:c>
      <x:c r="E126" s="48" t="str">
        <x:v>河南</x:v>
      </x:c>
      <x:c r="F126" s="48" t="n">
        <x:v>3</x:v>
      </x:c>
      <x:c r="G126" s="48" t="str">
        <x:v>marine_aquaculture</x:v>
      </x:c>
      <x:c r="H126" s="48" t="str">
        <x:v>海水养殖</x:v>
      </x:c>
      <x:c r="I126" s="48" t="n">
        <x:v>1</x:v>
      </x:c>
      <x:c r="J126" s="48" t="str">
        <x:v>fresh_sales</x:v>
      </x:c>
      <x:c r="K126" s="48" t="str">
        <x:v>鲜销</x:v>
      </x:c>
      <x:c r="L126" s="54" t="n">
        <x:v>0</x:v>
      </x:c>
      <x:c r="M126" s="54" t="n">
        <x:v>0</x:v>
      </x:c>
      <x:c r="N126" s="55" t="n">
        <x:v>0.74</x:v>
      </x:c>
      <x:c r="O126" s="54" t="n">
        <x:v>0</x:v>
      </x:c>
      <x:c r="P126" s="54" t="n">
        <x:v>0</x:v>
      </x:c>
      <x:c r="Q126" s="55" t="n">
        <x:v>0.01364593951749915</x:v>
      </x:c>
      <x:c r="R126" s="55" t="n">
        <x:v>0.30125780439425703</x:v>
      </x:c>
      <x:c r="S126" s="55" t="n">
        <x:v>0.7637120588662439</x:v>
      </x:c>
      <x:c r="T126" s="55" t="n">
        <x:v>1.3093940162271804</x:v>
      </x:c>
      <x:c r="U126" s="55" t="n">
        <x:v>0.37936273739681037</x:v>
      </x:c>
      <x:c r="V126" s="55" t="n">
        <x:v>0.8672230419111164</x:v>
      </x:c>
      <x:c r="W126" s="55" t="n">
        <x:v>0.9081351775837925</x:v>
      </x:c>
      <x:c r="X126" s="55" t="n">
        <x:v>0.8775594467248622</x:v>
      </x:c>
      <x:c r="Y126" s="54" t="n">
        <x:v>324988.1039437207</x:v>
      </x:c>
      <x:c r="Z126" s="54" t="n">
        <x:v>368801.84178739024</x:v>
      </x:c>
      <x:c r="AA126" s="54" t="n">
        <x:v>183342.2602753299</x:v>
      </x:c>
      <x:c r="AB126" s="55" t="n">
        <x:v>0.84</x:v>
      </x:c>
      <x:c r="AC126" s="55" t="n">
        <x:v>0.8</x:v>
      </x:c>
      <x:c r="AD126" s="55" t="n">
        <x:v>0.33</x:v>
      </x:c>
      <x:c r="AE126" s="55" t="n">
        <x:v>0.78</x:v>
      </x:c>
      <x:c r="AF126" s="55" t="n">
        <x:v>0.11</x:v>
      </x:c>
      <x:c r="AG126" s="53" t="str">
        <x:v>NBS China Statistical Yearbook 2025, Table 12-15</x:v>
      </x:c>
      <x:c r="AH126" s="53" t="str">
        <x:v>calibrated reconstruction; not historical author input</x:v>
      </x:c>
    </x:row>
    <x:row r="127" ht="32" hidden="0" customHeight="1">
      <x:c r="A127" s="48" t="str">
        <x:v>x_r16_s3_m2</x:v>
      </x:c>
      <x:c r="B127" s="48" t="str">
        <x:v>r16</x:v>
      </x:c>
      <x:c r="C127" s="48" t="str">
        <x:v>CN-HA</x:v>
      </x:c>
      <x:c r="D127" s="48" t="str">
        <x:v>Henan</x:v>
      </x:c>
      <x:c r="E127" s="48" t="str">
        <x:v>河南</x:v>
      </x:c>
      <x:c r="F127" s="48" t="n">
        <x:v>3</x:v>
      </x:c>
      <x:c r="G127" s="48" t="str">
        <x:v>marine_aquaculture</x:v>
      </x:c>
      <x:c r="H127" s="48" t="str">
        <x:v>海水养殖</x:v>
      </x:c>
      <x:c r="I127" s="48" t="n">
        <x:v>2</x:v>
      </x:c>
      <x:c r="J127" s="48" t="str">
        <x:v>deep_processing</x:v>
      </x:c>
      <x:c r="K127" s="48" t="str">
        <x:v>深加工</x:v>
      </x:c>
      <x:c r="L127" s="54" t="n">
        <x:v>0</x:v>
      </x:c>
      <x:c r="M127" s="54" t="n">
        <x:v>0</x:v>
      </x:c>
      <x:c r="N127" s="55" t="n">
        <x:v>0.26</x:v>
      </x:c>
      <x:c r="O127" s="54" t="n">
        <x:v>0</x:v>
      </x:c>
      <x:c r="P127" s="54" t="n">
        <x:v>0</x:v>
      </x:c>
      <x:c r="Q127" s="55" t="n">
        <x:v>0.01364593951749915</x:v>
      </x:c>
      <x:c r="R127" s="55" t="n">
        <x:v>0.30125780439425703</x:v>
      </x:c>
      <x:c r="S127" s="55" t="n">
        <x:v>0.7637120588662439</x:v>
      </x:c>
      <x:c r="T127" s="55" t="n">
        <x:v>1.3093940162271804</x:v>
      </x:c>
      <x:c r="U127" s="55" t="n">
        <x:v>0.37936273739681037</x:v>
      </x:c>
      <x:c r="V127" s="55" t="n">
        <x:v>0.8672230419111164</x:v>
      </x:c>
      <x:c r="W127" s="55" t="n">
        <x:v>0.9081351775837925</x:v>
      </x:c>
      <x:c r="X127" s="55" t="n">
        <x:v>0.8775594467248622</x:v>
      </x:c>
      <x:c r="Y127" s="54" t="n">
        <x:v>324988.1039437207</x:v>
      </x:c>
      <x:c r="Z127" s="54" t="n">
        <x:v>368801.84178739024</x:v>
      </x:c>
      <x:c r="AA127" s="54" t="n">
        <x:v>183342.2602753299</x:v>
      </x:c>
      <x:c r="AB127" s="55" t="n">
        <x:v>1.02</x:v>
      </x:c>
      <x:c r="AC127" s="55" t="n">
        <x:v>1.16</x:v>
      </x:c>
      <x:c r="AD127" s="55" t="n">
        <x:v>0.41</x:v>
      </x:c>
      <x:c r="AE127" s="55" t="n">
        <x:v>0.81</x:v>
      </x:c>
      <x:c r="AF127" s="55" t="n">
        <x:v>0.11</x:v>
      </x:c>
      <x:c r="AG127" s="53" t="str">
        <x:v>NBS China Statistical Yearbook 2025, Table 12-15</x:v>
      </x:c>
      <x:c r="AH127" s="53" t="str">
        <x:v>calibrated reconstruction; not historical author input</x:v>
      </x:c>
    </x:row>
    <x:row r="128" ht="32" hidden="0" customHeight="1">
      <x:c r="A128" s="48" t="str">
        <x:v>x_r16_s4_m1</x:v>
      </x:c>
      <x:c r="B128" s="48" t="str">
        <x:v>r16</x:v>
      </x:c>
      <x:c r="C128" s="48" t="str">
        <x:v>CN-HA</x:v>
      </x:c>
      <x:c r="D128" s="48" t="str">
        <x:v>Henan</x:v>
      </x:c>
      <x:c r="E128" s="48" t="str">
        <x:v>河南</x:v>
      </x:c>
      <x:c r="F128" s="48" t="n">
        <x:v>4</x:v>
      </x:c>
      <x:c r="G128" s="48" t="str">
        <x:v>freshwater_aquaculture</x:v>
      </x:c>
      <x:c r="H128" s="48" t="str">
        <x:v>淡水养殖</x:v>
      </x:c>
      <x:c r="I128" s="48" t="n">
        <x:v>1</x:v>
      </x:c>
      <x:c r="J128" s="48" t="str">
        <x:v>fresh_sales</x:v>
      </x:c>
      <x:c r="K128" s="48" t="str">
        <x:v>鲜销</x:v>
      </x:c>
      <x:c r="L128" s="54" t="n">
        <x:v>893000</x:v>
      </x:c>
      <x:c r="M128" s="54" t="n">
        <x:v>863709.3087054027</x:v>
      </x:c>
      <x:c r="N128" s="55" t="n">
        <x:v>0.78</x:v>
      </x:c>
      <x:c r="O128" s="54" t="n">
        <x:v>673693.2607902141</x:v>
      </x:c>
      <x:c r="P128" s="54" t="n">
        <x:v>808431.9129482568</x:v>
      </x:c>
      <x:c r="Q128" s="55" t="n">
        <x:v>0.01364593951749915</x:v>
      </x:c>
      <x:c r="R128" s="55" t="n">
        <x:v>0.30125780439425703</x:v>
      </x:c>
      <x:c r="S128" s="55" t="n">
        <x:v>0.7637120588662439</x:v>
      </x:c>
      <x:c r="T128" s="55" t="n">
        <x:v>1.3093940162271804</x:v>
      </x:c>
      <x:c r="U128" s="55" t="n">
        <x:v>0.37936273739681037</x:v>
      </x:c>
      <x:c r="V128" s="55" t="n">
        <x:v>0.8672230419111164</x:v>
      </x:c>
      <x:c r="W128" s="55" t="n">
        <x:v>0.9081351775837925</x:v>
      </x:c>
      <x:c r="X128" s="55" t="n">
        <x:v>0.8775594467248622</x:v>
      </x:c>
      <x:c r="Y128" s="54" t="n">
        <x:v>324988.1039437207</x:v>
      </x:c>
      <x:c r="Z128" s="54" t="n">
        <x:v>368801.84178739024</x:v>
      </x:c>
      <x:c r="AA128" s="54" t="n">
        <x:v>183342.2602753299</x:v>
      </x:c>
      <x:c r="AB128" s="55" t="n">
        <x:v>0.88</x:v>
      </x:c>
      <x:c r="AC128" s="55" t="n">
        <x:v>0.84</x:v>
      </x:c>
      <x:c r="AD128" s="55" t="n">
        <x:v>0.31</x:v>
      </x:c>
      <x:c r="AE128" s="55" t="n">
        <x:v>0.88</x:v>
      </x:c>
      <x:c r="AF128" s="55" t="n">
        <x:v>0.08</x:v>
      </x:c>
      <x:c r="AG128" s="53" t="str">
        <x:v>NBS China Statistical Yearbook 2025, Table 12-15</x:v>
      </x:c>
      <x:c r="AH128" s="53" t="str">
        <x:v>calibrated reconstruction; not historical author input</x:v>
      </x:c>
    </x:row>
    <x:row r="129" ht="32" hidden="0" customHeight="1">
      <x:c r="A129" s="48" t="str">
        <x:v>x_r16_s4_m2</x:v>
      </x:c>
      <x:c r="B129" s="48" t="str">
        <x:v>r16</x:v>
      </x:c>
      <x:c r="C129" s="48" t="str">
        <x:v>CN-HA</x:v>
      </x:c>
      <x:c r="D129" s="48" t="str">
        <x:v>Henan</x:v>
      </x:c>
      <x:c r="E129" s="48" t="str">
        <x:v>河南</x:v>
      </x:c>
      <x:c r="F129" s="48" t="n">
        <x:v>4</x:v>
      </x:c>
      <x:c r="G129" s="48" t="str">
        <x:v>freshwater_aquaculture</x:v>
      </x:c>
      <x:c r="H129" s="48" t="str">
        <x:v>淡水养殖</x:v>
      </x:c>
      <x:c r="I129" s="48" t="n">
        <x:v>2</x:v>
      </x:c>
      <x:c r="J129" s="48" t="str">
        <x:v>deep_processing</x:v>
      </x:c>
      <x:c r="K129" s="48" t="str">
        <x:v>深加工</x:v>
      </x:c>
      <x:c r="L129" s="54" t="n">
        <x:v>893000</x:v>
      </x:c>
      <x:c r="M129" s="54" t="n">
        <x:v>863709.3087054027</x:v>
      </x:c>
      <x:c r="N129" s="55" t="n">
        <x:v>0.22</x:v>
      </x:c>
      <x:c r="O129" s="54" t="n">
        <x:v>190016.0479151886</x:v>
      </x:c>
      <x:c r="P129" s="54" t="n">
        <x:v>228019.2574982263</x:v>
      </x:c>
      <x:c r="Q129" s="55" t="n">
        <x:v>0.01364593951749915</x:v>
      </x:c>
      <x:c r="R129" s="55" t="n">
        <x:v>0.30125780439425703</x:v>
      </x:c>
      <x:c r="S129" s="55" t="n">
        <x:v>0.7637120588662439</x:v>
      </x:c>
      <x:c r="T129" s="55" t="n">
        <x:v>1.3093940162271804</x:v>
      </x:c>
      <x:c r="U129" s="55" t="n">
        <x:v>0.37936273739681037</x:v>
      </x:c>
      <x:c r="V129" s="55" t="n">
        <x:v>0.8672230419111164</x:v>
      </x:c>
      <x:c r="W129" s="55" t="n">
        <x:v>0.9081351775837925</x:v>
      </x:c>
      <x:c r="X129" s="55" t="n">
        <x:v>0.8775594467248622</x:v>
      </x:c>
      <x:c r="Y129" s="54" t="n">
        <x:v>324988.1039437207</x:v>
      </x:c>
      <x:c r="Z129" s="54" t="n">
        <x:v>368801.84178739024</x:v>
      </x:c>
      <x:c r="AA129" s="54" t="n">
        <x:v>183342.2602753299</x:v>
      </x:c>
      <x:c r="AB129" s="55" t="n">
        <x:v>1.06</x:v>
      </x:c>
      <x:c r="AC129" s="55" t="n">
        <x:v>1.2</x:v>
      </x:c>
      <x:c r="AD129" s="55" t="n">
        <x:v>0.39</x:v>
      </x:c>
      <x:c r="AE129" s="55" t="n">
        <x:v>0.91</x:v>
      </x:c>
      <x:c r="AF129" s="55" t="n">
        <x:v>0.08</x:v>
      </x:c>
      <x:c r="AG129" s="53" t="str">
        <x:v>NBS China Statistical Yearbook 2025, Table 12-15</x:v>
      </x:c>
      <x:c r="AH129" s="53" t="str">
        <x:v>calibrated reconstruction; not historical author input</x:v>
      </x:c>
    </x:row>
    <x:row r="130" ht="32" hidden="0" customHeight="1">
      <x:c r="A130" s="48" t="str">
        <x:v>x_r17_s1_m1</x:v>
      </x:c>
      <x:c r="B130" s="48" t="str">
        <x:v>r17</x:v>
      </x:c>
      <x:c r="C130" s="48" t="str">
        <x:v>CN-HB</x:v>
      </x:c>
      <x:c r="D130" s="48" t="str">
        <x:v>Hubei</x:v>
      </x:c>
      <x:c r="E130" s="48" t="str">
        <x:v>湖北</x:v>
      </x:c>
      <x:c r="F130" s="48" t="n">
        <x:v>1</x:v>
      </x:c>
      <x:c r="G130" s="48" t="str">
        <x:v>marine_capture</x:v>
      </x:c>
      <x:c r="H130" s="48" t="str">
        <x:v>海洋捕捞</x:v>
      </x:c>
      <x:c r="I130" s="48" t="n">
        <x:v>1</x:v>
      </x:c>
      <x:c r="J130" s="48" t="str">
        <x:v>fresh_sales</x:v>
      </x:c>
      <x:c r="K130" s="48" t="str">
        <x:v>鲜销</x:v>
      </x:c>
      <x:c r="L130" s="54" t="n">
        <x:v>0</x:v>
      </x:c>
      <x:c r="M130" s="54" t="n">
        <x:v>0</x:v>
      </x:c>
      <x:c r="N130" s="55" t="n">
        <x:v>0.62</x:v>
      </x:c>
      <x:c r="O130" s="54" t="n">
        <x:v>0</x:v>
      </x:c>
      <x:c r="P130" s="54" t="n">
        <x:v>0</x:v>
      </x:c>
      <x:c r="Q130" s="55" t="n">
        <x:v>0.07427794767244308</x:v>
      </x:c>
      <x:c r="R130" s="55" t="n">
        <x:v>0.42869205447337466</x:v>
      </x:c>
      <x:c r="S130" s="55" t="n">
        <x:v>0.8942973326233238</x:v>
      </x:c>
      <x:c r="T130" s="55" t="n">
        <x:v>1.1181963352910926</x:v>
      </x:c>
      <x:c r="U130" s="55" t="n">
        <x:v>0.519055485745661</x:v>
      </x:c>
      <x:c r="V130" s="55" t="n">
        <x:v>0.8183305799890187</x:v>
      </x:c>
      <x:c r="W130" s="55" t="n">
        <x:v>0.8870505758570436</x:v>
      </x:c>
      <x:c r="X130" s="55" t="n">
        <x:v>0.8838848272428869</x:v>
      </x:c>
      <x:c r="Y130" s="54" t="n">
        <x:v>777250.373372558</x:v>
      </x:c>
      <x:c r="Z130" s="54" t="n">
        <x:v>1982953.648820809</x:v>
      </x:c>
      <x:c r="AA130" s="54" t="n">
        <x:v>338079.9433426911</x:v>
      </x:c>
      <x:c r="AB130" s="55" t="n">
        <x:v>0.65</x:v>
      </x:c>
      <x:c r="AC130" s="55" t="n">
        <x:v>0.62</x:v>
      </x:c>
      <x:c r="AD130" s="55" t="n">
        <x:v>0.29</x:v>
      </x:c>
      <x:c r="AE130" s="55" t="n">
        <x:v>0.28</x:v>
      </x:c>
      <x:c r="AF130" s="55" t="n">
        <x:v>1</x:v>
      </x:c>
      <x:c r="AG130" s="53" t="str">
        <x:v>NBS China Statistical Yearbook 2025, Table 12-15</x:v>
      </x:c>
      <x:c r="AH130" s="53" t="str">
        <x:v>calibrated reconstruction; not historical author input</x:v>
      </x:c>
    </x:row>
    <x:row r="131" ht="32" hidden="0" customHeight="1">
      <x:c r="A131" s="48" t="str">
        <x:v>x_r17_s1_m2</x:v>
      </x:c>
      <x:c r="B131" s="48" t="str">
        <x:v>r17</x:v>
      </x:c>
      <x:c r="C131" s="48" t="str">
        <x:v>CN-HB</x:v>
      </x:c>
      <x:c r="D131" s="48" t="str">
        <x:v>Hubei</x:v>
      </x:c>
      <x:c r="E131" s="48" t="str">
        <x:v>湖北</x:v>
      </x:c>
      <x:c r="F131" s="48" t="n">
        <x:v>1</x:v>
      </x:c>
      <x:c r="G131" s="48" t="str">
        <x:v>marine_capture</x:v>
      </x:c>
      <x:c r="H131" s="48" t="str">
        <x:v>海洋捕捞</x:v>
      </x:c>
      <x:c r="I131" s="48" t="n">
        <x:v>2</x:v>
      </x:c>
      <x:c r="J131" s="48" t="str">
        <x:v>deep_processing</x:v>
      </x:c>
      <x:c r="K131" s="48" t="str">
        <x:v>深加工</x:v>
      </x:c>
      <x:c r="L131" s="54" t="n">
        <x:v>0</x:v>
      </x:c>
      <x:c r="M131" s="54" t="n">
        <x:v>0</x:v>
      </x:c>
      <x:c r="N131" s="55" t="n">
        <x:v>0.38</x:v>
      </x:c>
      <x:c r="O131" s="54" t="n">
        <x:v>0</x:v>
      </x:c>
      <x:c r="P131" s="54" t="n">
        <x:v>0</x:v>
      </x:c>
      <x:c r="Q131" s="55" t="n">
        <x:v>0.07427794767244308</x:v>
      </x:c>
      <x:c r="R131" s="55" t="n">
        <x:v>0.42869205447337466</x:v>
      </x:c>
      <x:c r="S131" s="55" t="n">
        <x:v>0.8942973326233238</x:v>
      </x:c>
      <x:c r="T131" s="55" t="n">
        <x:v>1.1181963352910926</x:v>
      </x:c>
      <x:c r="U131" s="55" t="n">
        <x:v>0.519055485745661</x:v>
      </x:c>
      <x:c r="V131" s="55" t="n">
        <x:v>0.8183305799890187</x:v>
      </x:c>
      <x:c r="W131" s="55" t="n">
        <x:v>0.8870505758570436</x:v>
      </x:c>
      <x:c r="X131" s="55" t="n">
        <x:v>0.8838848272428869</x:v>
      </x:c>
      <x:c r="Y131" s="54" t="n">
        <x:v>777250.373372558</x:v>
      </x:c>
      <x:c r="Z131" s="54" t="n">
        <x:v>1982953.648820809</x:v>
      </x:c>
      <x:c r="AA131" s="54" t="n">
        <x:v>338079.9433426911</x:v>
      </x:c>
      <x:c r="AB131" s="55" t="n">
        <x:v>0.82</x:v>
      </x:c>
      <x:c r="AC131" s="55" t="n">
        <x:v>0.95</x:v>
      </x:c>
      <x:c r="AD131" s="55" t="n">
        <x:v>0.36</x:v>
      </x:c>
      <x:c r="AE131" s="55" t="n">
        <x:v>0.31</x:v>
      </x:c>
      <x:c r="AF131" s="55" t="n">
        <x:v>1</x:v>
      </x:c>
      <x:c r="AG131" s="53" t="str">
        <x:v>NBS China Statistical Yearbook 2025, Table 12-15</x:v>
      </x:c>
      <x:c r="AH131" s="53" t="str">
        <x:v>calibrated reconstruction; not historical author input</x:v>
      </x:c>
    </x:row>
    <x:row r="132" ht="32" hidden="0" customHeight="1">
      <x:c r="A132" s="48" t="str">
        <x:v>x_r17_s2_m1</x:v>
      </x:c>
      <x:c r="B132" s="48" t="str">
        <x:v>r17</x:v>
      </x:c>
      <x:c r="C132" s="48" t="str">
        <x:v>CN-HB</x:v>
      </x:c>
      <x:c r="D132" s="48" t="str">
        <x:v>Hubei</x:v>
      </x:c>
      <x:c r="E132" s="48" t="str">
        <x:v>湖北</x:v>
      </x:c>
      <x:c r="F132" s="48" t="n">
        <x:v>2</x:v>
      </x:c>
      <x:c r="G132" s="48" t="str">
        <x:v>freshwater_capture</x:v>
      </x:c>
      <x:c r="H132" s="48" t="str">
        <x:v>淡水捕捞</x:v>
      </x:c>
      <x:c r="I132" s="48" t="n">
        <x:v>1</x:v>
      </x:c>
      <x:c r="J132" s="48" t="str">
        <x:v>fresh_sales</x:v>
      </x:c>
      <x:c r="K132" s="48" t="str">
        <x:v>鲜销</x:v>
      </x:c>
      <x:c r="L132" s="54" t="n">
        <x:v>24000</x:v>
      </x:c>
      <x:c r="M132" s="54" t="n">
        <x:v>23212.792171253823</x:v>
      </x:c>
      <x:c r="N132" s="55" t="n">
        <x:v>0.67</x:v>
      </x:c>
      <x:c r="O132" s="54" t="n">
        <x:v>15552.570754740062</x:v>
      </x:c>
      <x:c r="P132" s="54" t="n">
        <x:v>18663.084905688072</x:v>
      </x:c>
      <x:c r="Q132" s="55" t="n">
        <x:v>0.07427794767244308</x:v>
      </x:c>
      <x:c r="R132" s="55" t="n">
        <x:v>0.42869205447337466</x:v>
      </x:c>
      <x:c r="S132" s="55" t="n">
        <x:v>0.8942973326233238</x:v>
      </x:c>
      <x:c r="T132" s="55" t="n">
        <x:v>1.1181963352910926</x:v>
      </x:c>
      <x:c r="U132" s="55" t="n">
        <x:v>0.519055485745661</x:v>
      </x:c>
      <x:c r="V132" s="55" t="n">
        <x:v>0.8183305799890187</x:v>
      </x:c>
      <x:c r="W132" s="55" t="n">
        <x:v>0.8870505758570436</x:v>
      </x:c>
      <x:c r="X132" s="55" t="n">
        <x:v>0.8838848272428869</x:v>
      </x:c>
      <x:c r="Y132" s="54" t="n">
        <x:v>777250.373372558</x:v>
      </x:c>
      <x:c r="Z132" s="54" t="n">
        <x:v>1982953.648820809</x:v>
      </x:c>
      <x:c r="AA132" s="54" t="n">
        <x:v>338079.9433426911</x:v>
      </x:c>
      <x:c r="AB132" s="55" t="n">
        <x:v>0.7</x:v>
      </x:c>
      <x:c r="AC132" s="55" t="n">
        <x:v>0.67</x:v>
      </x:c>
      <x:c r="AD132" s="55" t="n">
        <x:v>0.26</x:v>
      </x:c>
      <x:c r="AE132" s="55" t="n">
        <x:v>0.42</x:v>
      </x:c>
      <x:c r="AF132" s="55" t="n">
        <x:v>0.7</x:v>
      </x:c>
      <x:c r="AG132" s="53" t="str">
        <x:v>NBS China Statistical Yearbook 2025, Table 12-15</x:v>
      </x:c>
      <x:c r="AH132" s="53" t="str">
        <x:v>calibrated reconstruction; not historical author input</x:v>
      </x:c>
    </x:row>
    <x:row r="133" ht="32" hidden="0" customHeight="1">
      <x:c r="A133" s="48" t="str">
        <x:v>x_r17_s2_m2</x:v>
      </x:c>
      <x:c r="B133" s="48" t="str">
        <x:v>r17</x:v>
      </x:c>
      <x:c r="C133" s="48" t="str">
        <x:v>CN-HB</x:v>
      </x:c>
      <x:c r="D133" s="48" t="str">
        <x:v>Hubei</x:v>
      </x:c>
      <x:c r="E133" s="48" t="str">
        <x:v>湖北</x:v>
      </x:c>
      <x:c r="F133" s="48" t="n">
        <x:v>2</x:v>
      </x:c>
      <x:c r="G133" s="48" t="str">
        <x:v>freshwater_capture</x:v>
      </x:c>
      <x:c r="H133" s="48" t="str">
        <x:v>淡水捕捞</x:v>
      </x:c>
      <x:c r="I133" s="48" t="n">
        <x:v>2</x:v>
      </x:c>
      <x:c r="J133" s="48" t="str">
        <x:v>deep_processing</x:v>
      </x:c>
      <x:c r="K133" s="48" t="str">
        <x:v>深加工</x:v>
      </x:c>
      <x:c r="L133" s="54" t="n">
        <x:v>24000</x:v>
      </x:c>
      <x:c r="M133" s="54" t="n">
        <x:v>23212.792171253823</x:v>
      </x:c>
      <x:c r="N133" s="55" t="n">
        <x:v>0.33</x:v>
      </x:c>
      <x:c r="O133" s="54" t="n">
        <x:v>7660.221416513762</x:v>
      </x:c>
      <x:c r="P133" s="54" t="n">
        <x:v>9192.265699816515</x:v>
      </x:c>
      <x:c r="Q133" s="55" t="n">
        <x:v>0.07427794767244308</x:v>
      </x:c>
      <x:c r="R133" s="55" t="n">
        <x:v>0.42869205447337466</x:v>
      </x:c>
      <x:c r="S133" s="55" t="n">
        <x:v>0.8942973326233238</x:v>
      </x:c>
      <x:c r="T133" s="55" t="n">
        <x:v>1.1181963352910926</x:v>
      </x:c>
      <x:c r="U133" s="55" t="n">
        <x:v>0.519055485745661</x:v>
      </x:c>
      <x:c r="V133" s="55" t="n">
        <x:v>0.8183305799890187</x:v>
      </x:c>
      <x:c r="W133" s="55" t="n">
        <x:v>0.8870505758570436</x:v>
      </x:c>
      <x:c r="X133" s="55" t="n">
        <x:v>0.8838848272428869</x:v>
      </x:c>
      <x:c r="Y133" s="54" t="n">
        <x:v>777250.373372558</x:v>
      </x:c>
      <x:c r="Z133" s="54" t="n">
        <x:v>1982953.648820809</x:v>
      </x:c>
      <x:c r="AA133" s="54" t="n">
        <x:v>338079.9433426911</x:v>
      </x:c>
      <x:c r="AB133" s="55" t="n">
        <x:v>0.86</x:v>
      </x:c>
      <x:c r="AC133" s="55" t="n">
        <x:v>0.99</x:v>
      </x:c>
      <x:c r="AD133" s="55" t="n">
        <x:v>0.34</x:v>
      </x:c>
      <x:c r="AE133" s="55" t="n">
        <x:v>0.45</x:v>
      </x:c>
      <x:c r="AF133" s="55" t="n">
        <x:v>0.7</x:v>
      </x:c>
      <x:c r="AG133" s="53" t="str">
        <x:v>NBS China Statistical Yearbook 2025, Table 12-15</x:v>
      </x:c>
      <x:c r="AH133" s="53" t="str">
        <x:v>calibrated reconstruction; not historical author input</x:v>
      </x:c>
    </x:row>
    <x:row r="134" ht="32" hidden="0" customHeight="1">
      <x:c r="A134" s="48" t="str">
        <x:v>x_r17_s3_m1</x:v>
      </x:c>
      <x:c r="B134" s="48" t="str">
        <x:v>r17</x:v>
      </x:c>
      <x:c r="C134" s="48" t="str">
        <x:v>CN-HB</x:v>
      </x:c>
      <x:c r="D134" s="48" t="str">
        <x:v>Hubei</x:v>
      </x:c>
      <x:c r="E134" s="48" t="str">
        <x:v>湖北</x:v>
      </x:c>
      <x:c r="F134" s="48" t="n">
        <x:v>3</x:v>
      </x:c>
      <x:c r="G134" s="48" t="str">
        <x:v>marine_aquaculture</x:v>
      </x:c>
      <x:c r="H134" s="48" t="str">
        <x:v>海水养殖</x:v>
      </x:c>
      <x:c r="I134" s="48" t="n">
        <x:v>1</x:v>
      </x:c>
      <x:c r="J134" s="48" t="str">
        <x:v>fresh_sales</x:v>
      </x:c>
      <x:c r="K134" s="48" t="str">
        <x:v>鲜销</x:v>
      </x:c>
      <x:c r="L134" s="54" t="n">
        <x:v>0</x:v>
      </x:c>
      <x:c r="M134" s="54" t="n">
        <x:v>0</x:v>
      </x:c>
      <x:c r="N134" s="55" t="n">
        <x:v>0.74</x:v>
      </x:c>
      <x:c r="O134" s="54" t="n">
        <x:v>0</x:v>
      </x:c>
      <x:c r="P134" s="54" t="n">
        <x:v>0</x:v>
      </x:c>
      <x:c r="Q134" s="55" t="n">
        <x:v>0.07427794767244308</x:v>
      </x:c>
      <x:c r="R134" s="55" t="n">
        <x:v>0.42869205447337466</x:v>
      </x:c>
      <x:c r="S134" s="55" t="n">
        <x:v>0.8942973326233238</x:v>
      </x:c>
      <x:c r="T134" s="55" t="n">
        <x:v>1.1181963352910926</x:v>
      </x:c>
      <x:c r="U134" s="55" t="n">
        <x:v>0.519055485745661</x:v>
      </x:c>
      <x:c r="V134" s="55" t="n">
        <x:v>0.8183305799890187</x:v>
      </x:c>
      <x:c r="W134" s="55" t="n">
        <x:v>0.8870505758570436</x:v>
      </x:c>
      <x:c r="X134" s="55" t="n">
        <x:v>0.8838848272428869</x:v>
      </x:c>
      <x:c r="Y134" s="54" t="n">
        <x:v>777250.373372558</x:v>
      </x:c>
      <x:c r="Z134" s="54" t="n">
        <x:v>1982953.648820809</x:v>
      </x:c>
      <x:c r="AA134" s="54" t="n">
        <x:v>338079.9433426911</x:v>
      </x:c>
      <x:c r="AB134" s="55" t="n">
        <x:v>0.84</x:v>
      </x:c>
      <x:c r="AC134" s="55" t="n">
        <x:v>0.8</x:v>
      </x:c>
      <x:c r="AD134" s="55" t="n">
        <x:v>0.33</x:v>
      </x:c>
      <x:c r="AE134" s="55" t="n">
        <x:v>0.78</x:v>
      </x:c>
      <x:c r="AF134" s="55" t="n">
        <x:v>0.11</x:v>
      </x:c>
      <x:c r="AG134" s="53" t="str">
        <x:v>NBS China Statistical Yearbook 2025, Table 12-15</x:v>
      </x:c>
      <x:c r="AH134" s="53" t="str">
        <x:v>calibrated reconstruction; not historical author input</x:v>
      </x:c>
    </x:row>
    <x:row r="135" ht="32" hidden="0" customHeight="1">
      <x:c r="A135" s="48" t="str">
        <x:v>x_r17_s3_m2</x:v>
      </x:c>
      <x:c r="B135" s="48" t="str">
        <x:v>r17</x:v>
      </x:c>
      <x:c r="C135" s="48" t="str">
        <x:v>CN-HB</x:v>
      </x:c>
      <x:c r="D135" s="48" t="str">
        <x:v>Hubei</x:v>
      </x:c>
      <x:c r="E135" s="48" t="str">
        <x:v>湖北</x:v>
      </x:c>
      <x:c r="F135" s="48" t="n">
        <x:v>3</x:v>
      </x:c>
      <x:c r="G135" s="48" t="str">
        <x:v>marine_aquaculture</x:v>
      </x:c>
      <x:c r="H135" s="48" t="str">
        <x:v>海水养殖</x:v>
      </x:c>
      <x:c r="I135" s="48" t="n">
        <x:v>2</x:v>
      </x:c>
      <x:c r="J135" s="48" t="str">
        <x:v>deep_processing</x:v>
      </x:c>
      <x:c r="K135" s="48" t="str">
        <x:v>深加工</x:v>
      </x:c>
      <x:c r="L135" s="54" t="n">
        <x:v>0</x:v>
      </x:c>
      <x:c r="M135" s="54" t="n">
        <x:v>0</x:v>
      </x:c>
      <x:c r="N135" s="55" t="n">
        <x:v>0.26</x:v>
      </x:c>
      <x:c r="O135" s="54" t="n">
        <x:v>0</x:v>
      </x:c>
      <x:c r="P135" s="54" t="n">
        <x:v>0</x:v>
      </x:c>
      <x:c r="Q135" s="55" t="n">
        <x:v>0.07427794767244308</x:v>
      </x:c>
      <x:c r="R135" s="55" t="n">
        <x:v>0.42869205447337466</x:v>
      </x:c>
      <x:c r="S135" s="55" t="n">
        <x:v>0.8942973326233238</x:v>
      </x:c>
      <x:c r="T135" s="55" t="n">
        <x:v>1.1181963352910926</x:v>
      </x:c>
      <x:c r="U135" s="55" t="n">
        <x:v>0.519055485745661</x:v>
      </x:c>
      <x:c r="V135" s="55" t="n">
        <x:v>0.8183305799890187</x:v>
      </x:c>
      <x:c r="W135" s="55" t="n">
        <x:v>0.8870505758570436</x:v>
      </x:c>
      <x:c r="X135" s="55" t="n">
        <x:v>0.8838848272428869</x:v>
      </x:c>
      <x:c r="Y135" s="54" t="n">
        <x:v>777250.373372558</x:v>
      </x:c>
      <x:c r="Z135" s="54" t="n">
        <x:v>1982953.648820809</x:v>
      </x:c>
      <x:c r="AA135" s="54" t="n">
        <x:v>338079.9433426911</x:v>
      </x:c>
      <x:c r="AB135" s="55" t="n">
        <x:v>1.02</x:v>
      </x:c>
      <x:c r="AC135" s="55" t="n">
        <x:v>1.16</x:v>
      </x:c>
      <x:c r="AD135" s="55" t="n">
        <x:v>0.41</x:v>
      </x:c>
      <x:c r="AE135" s="55" t="n">
        <x:v>0.81</x:v>
      </x:c>
      <x:c r="AF135" s="55" t="n">
        <x:v>0.11</x:v>
      </x:c>
      <x:c r="AG135" s="53" t="str">
        <x:v>NBS China Statistical Yearbook 2025, Table 12-15</x:v>
      </x:c>
      <x:c r="AH135" s="53" t="str">
        <x:v>calibrated reconstruction; not historical author input</x:v>
      </x:c>
    </x:row>
    <x:row r="136" ht="32" hidden="0" customHeight="1">
      <x:c r="A136" s="48" t="str">
        <x:v>x_r17_s4_m1</x:v>
      </x:c>
      <x:c r="B136" s="48" t="str">
        <x:v>r17</x:v>
      </x:c>
      <x:c r="C136" s="48" t="str">
        <x:v>CN-HB</x:v>
      </x:c>
      <x:c r="D136" s="48" t="str">
        <x:v>Hubei</x:v>
      </x:c>
      <x:c r="E136" s="48" t="str">
        <x:v>湖北</x:v>
      </x:c>
      <x:c r="F136" s="48" t="n">
        <x:v>4</x:v>
      </x:c>
      <x:c r="G136" s="48" t="str">
        <x:v>freshwater_aquaculture</x:v>
      </x:c>
      <x:c r="H136" s="48" t="str">
        <x:v>淡水养殖</x:v>
      </x:c>
      <x:c r="I136" s="48" t="n">
        <x:v>1</x:v>
      </x:c>
      <x:c r="J136" s="48" t="str">
        <x:v>fresh_sales</x:v>
      </x:c>
      <x:c r="K136" s="48" t="str">
        <x:v>鲜销</x:v>
      </x:c>
      <x:c r="L136" s="54" t="n">
        <x:v>5441000</x:v>
      </x:c>
      <x:c r="M136" s="54" t="n">
        <x:v>5262533.4251580015</x:v>
      </x:c>
      <x:c r="N136" s="55" t="n">
        <x:v>0.78</x:v>
      </x:c>
      <x:c r="O136" s="54" t="n">
        <x:v>4104776.0716232415</x:v>
      </x:c>
      <x:c r="P136" s="54" t="n">
        <x:v>4925731.28594789</x:v>
      </x:c>
      <x:c r="Q136" s="55" t="n">
        <x:v>0.07427794767244308</x:v>
      </x:c>
      <x:c r="R136" s="55" t="n">
        <x:v>0.42869205447337466</x:v>
      </x:c>
      <x:c r="S136" s="55" t="n">
        <x:v>0.8942973326233238</x:v>
      </x:c>
      <x:c r="T136" s="55" t="n">
        <x:v>1.1181963352910926</x:v>
      </x:c>
      <x:c r="U136" s="55" t="n">
        <x:v>0.519055485745661</x:v>
      </x:c>
      <x:c r="V136" s="55" t="n">
        <x:v>0.8183305799890187</x:v>
      </x:c>
      <x:c r="W136" s="55" t="n">
        <x:v>0.8870505758570436</x:v>
      </x:c>
      <x:c r="X136" s="55" t="n">
        <x:v>0.8838848272428869</x:v>
      </x:c>
      <x:c r="Y136" s="54" t="n">
        <x:v>777250.373372558</x:v>
      </x:c>
      <x:c r="Z136" s="54" t="n">
        <x:v>1982953.648820809</x:v>
      </x:c>
      <x:c r="AA136" s="54" t="n">
        <x:v>338079.9433426911</x:v>
      </x:c>
      <x:c r="AB136" s="55" t="n">
        <x:v>0.88</x:v>
      </x:c>
      <x:c r="AC136" s="55" t="n">
        <x:v>0.84</x:v>
      </x:c>
      <x:c r="AD136" s="55" t="n">
        <x:v>0.31</x:v>
      </x:c>
      <x:c r="AE136" s="55" t="n">
        <x:v>0.88</x:v>
      </x:c>
      <x:c r="AF136" s="55" t="n">
        <x:v>0.08</x:v>
      </x:c>
      <x:c r="AG136" s="53" t="str">
        <x:v>NBS China Statistical Yearbook 2025, Table 12-15</x:v>
      </x:c>
      <x:c r="AH136" s="53" t="str">
        <x:v>calibrated reconstruction; not historical author input</x:v>
      </x:c>
    </x:row>
    <x:row r="137" ht="32" hidden="0" customHeight="1">
      <x:c r="A137" s="48" t="str">
        <x:v>x_r17_s4_m2</x:v>
      </x:c>
      <x:c r="B137" s="48" t="str">
        <x:v>r17</x:v>
      </x:c>
      <x:c r="C137" s="48" t="str">
        <x:v>CN-HB</x:v>
      </x:c>
      <x:c r="D137" s="48" t="str">
        <x:v>Hubei</x:v>
      </x:c>
      <x:c r="E137" s="48" t="str">
        <x:v>湖北</x:v>
      </x:c>
      <x:c r="F137" s="48" t="n">
        <x:v>4</x:v>
      </x:c>
      <x:c r="G137" s="48" t="str">
        <x:v>freshwater_aquaculture</x:v>
      </x:c>
      <x:c r="H137" s="48" t="str">
        <x:v>淡水养殖</x:v>
      </x:c>
      <x:c r="I137" s="48" t="n">
        <x:v>2</x:v>
      </x:c>
      <x:c r="J137" s="48" t="str">
        <x:v>deep_processing</x:v>
      </x:c>
      <x:c r="K137" s="48" t="str">
        <x:v>深加工</x:v>
      </x:c>
      <x:c r="L137" s="54" t="n">
        <x:v>5441000</x:v>
      </x:c>
      <x:c r="M137" s="54" t="n">
        <x:v>5262533.4251580015</x:v>
      </x:c>
      <x:c r="N137" s="55" t="n">
        <x:v>0.22</x:v>
      </x:c>
      <x:c r="O137" s="54" t="n">
        <x:v>1157757.3535347604</x:v>
      </x:c>
      <x:c r="P137" s="54" t="n">
        <x:v>1389308.8242417125</x:v>
      </x:c>
      <x:c r="Q137" s="55" t="n">
        <x:v>0.07427794767244308</x:v>
      </x:c>
      <x:c r="R137" s="55" t="n">
        <x:v>0.42869205447337466</x:v>
      </x:c>
      <x:c r="S137" s="55" t="n">
        <x:v>0.8942973326233238</x:v>
      </x:c>
      <x:c r="T137" s="55" t="n">
        <x:v>1.1181963352910926</x:v>
      </x:c>
      <x:c r="U137" s="55" t="n">
        <x:v>0.519055485745661</x:v>
      </x:c>
      <x:c r="V137" s="55" t="n">
        <x:v>0.8183305799890187</x:v>
      </x:c>
      <x:c r="W137" s="55" t="n">
        <x:v>0.8870505758570436</x:v>
      </x:c>
      <x:c r="X137" s="55" t="n">
        <x:v>0.8838848272428869</x:v>
      </x:c>
      <x:c r="Y137" s="54" t="n">
        <x:v>777250.373372558</x:v>
      </x:c>
      <x:c r="Z137" s="54" t="n">
        <x:v>1982953.648820809</x:v>
      </x:c>
      <x:c r="AA137" s="54" t="n">
        <x:v>338079.9433426911</x:v>
      </x:c>
      <x:c r="AB137" s="55" t="n">
        <x:v>1.06</x:v>
      </x:c>
      <x:c r="AC137" s="55" t="n">
        <x:v>1.2</x:v>
      </x:c>
      <x:c r="AD137" s="55" t="n">
        <x:v>0.39</x:v>
      </x:c>
      <x:c r="AE137" s="55" t="n">
        <x:v>0.91</x:v>
      </x:c>
      <x:c r="AF137" s="55" t="n">
        <x:v>0.08</x:v>
      </x:c>
      <x:c r="AG137" s="53" t="str">
        <x:v>NBS China Statistical Yearbook 2025, Table 12-15</x:v>
      </x:c>
      <x:c r="AH137" s="53" t="str">
        <x:v>calibrated reconstruction; not historical author input</x:v>
      </x:c>
    </x:row>
    <x:row r="138" ht="32" hidden="0" customHeight="1">
      <x:c r="A138" s="48" t="str">
        <x:v>x_r18_s1_m1</x:v>
      </x:c>
      <x:c r="B138" s="48" t="str">
        <x:v>r18</x:v>
      </x:c>
      <x:c r="C138" s="48" t="str">
        <x:v>CN-HN</x:v>
      </x:c>
      <x:c r="D138" s="48" t="str">
        <x:v>Hunan</x:v>
      </x:c>
      <x:c r="E138" s="48" t="str">
        <x:v>湖南</x:v>
      </x:c>
      <x:c r="F138" s="48" t="n">
        <x:v>1</x:v>
      </x:c>
      <x:c r="G138" s="48" t="str">
        <x:v>marine_capture</x:v>
      </x:c>
      <x:c r="H138" s="48" t="str">
        <x:v>海洋捕捞</x:v>
      </x:c>
      <x:c r="I138" s="48" t="n">
        <x:v>1</x:v>
      </x:c>
      <x:c r="J138" s="48" t="str">
        <x:v>fresh_sales</x:v>
      </x:c>
      <x:c r="K138" s="48" t="str">
        <x:v>鲜销</x:v>
      </x:c>
      <x:c r="L138" s="54" t="n">
        <x:v>0</x:v>
      </x:c>
      <x:c r="M138" s="54" t="n">
        <x:v>0</x:v>
      </x:c>
      <x:c r="N138" s="55" t="n">
        <x:v>0.62</x:v>
      </x:c>
      <x:c r="O138" s="54" t="n">
        <x:v>0</x:v>
      </x:c>
      <x:c r="P138" s="54" t="n">
        <x:v>0</x:v>
      </x:c>
      <x:c r="Q138" s="55" t="n">
        <x:v>0.04065239551478083</x:v>
      </x:c>
      <x:c r="R138" s="55" t="n">
        <x:v>0.39095547348966303</x:v>
      </x:c>
      <x:c r="S138" s="55" t="n">
        <x:v>0.9120152974778526</x:v>
      </x:c>
      <x:c r="T138" s="55" t="n">
        <x:v>1.096472836327928</x:v>
      </x:c>
      <x:c r="U138" s="55" t="n">
        <x:v>0.5303948644859657</x:v>
      </x:c>
      <x:c r="V138" s="55" t="n">
        <x:v>0.814361797429912</x:v>
      </x:c>
      <x:c r="W138" s="55" t="n">
        <x:v>0.8608834106259556</x:v>
      </x:c>
      <x:c r="X138" s="55" t="n">
        <x:v>0.8917349768122133</x:v>
      </x:c>
      <x:c r="Y138" s="54" t="n">
        <x:v>495356.7674401172</x:v>
      </x:c>
      <x:c r="Z138" s="54" t="n">
        <x:v>1068618.7825967146</x:v>
      </x:c>
      <x:c r="AA138" s="54" t="n">
        <x:v>171229.38762066324</x:v>
      </x:c>
      <x:c r="AB138" s="55" t="n">
        <x:v>0.65</x:v>
      </x:c>
      <x:c r="AC138" s="55" t="n">
        <x:v>0.62</x:v>
      </x:c>
      <x:c r="AD138" s="55" t="n">
        <x:v>0.29</x:v>
      </x:c>
      <x:c r="AE138" s="55" t="n">
        <x:v>0.28</x:v>
      </x:c>
      <x:c r="AF138" s="55" t="n">
        <x:v>1</x:v>
      </x:c>
      <x:c r="AG138" s="53" t="str">
        <x:v>NBS China Statistical Yearbook 2025, Table 12-15</x:v>
      </x:c>
      <x:c r="AH138" s="53" t="str">
        <x:v>calibrated reconstruction; not historical author input</x:v>
      </x:c>
    </x:row>
    <x:row r="139" ht="32" hidden="0" customHeight="1">
      <x:c r="A139" s="48" t="str">
        <x:v>x_r18_s1_m2</x:v>
      </x:c>
      <x:c r="B139" s="48" t="str">
        <x:v>r18</x:v>
      </x:c>
      <x:c r="C139" s="48" t="str">
        <x:v>CN-HN</x:v>
      </x:c>
      <x:c r="D139" s="48" t="str">
        <x:v>Hunan</x:v>
      </x:c>
      <x:c r="E139" s="48" t="str">
        <x:v>湖南</x:v>
      </x:c>
      <x:c r="F139" s="48" t="n">
        <x:v>1</x:v>
      </x:c>
      <x:c r="G139" s="48" t="str">
        <x:v>marine_capture</x:v>
      </x:c>
      <x:c r="H139" s="48" t="str">
        <x:v>海洋捕捞</x:v>
      </x:c>
      <x:c r="I139" s="48" t="n">
        <x:v>2</x:v>
      </x:c>
      <x:c r="J139" s="48" t="str">
        <x:v>deep_processing</x:v>
      </x:c>
      <x:c r="K139" s="48" t="str">
        <x:v>深加工</x:v>
      </x:c>
      <x:c r="L139" s="54" t="n">
        <x:v>0</x:v>
      </x:c>
      <x:c r="M139" s="54" t="n">
        <x:v>0</x:v>
      </x:c>
      <x:c r="N139" s="55" t="n">
        <x:v>0.38</x:v>
      </x:c>
      <x:c r="O139" s="54" t="n">
        <x:v>0</x:v>
      </x:c>
      <x:c r="P139" s="54" t="n">
        <x:v>0</x:v>
      </x:c>
      <x:c r="Q139" s="55" t="n">
        <x:v>0.04065239551478083</x:v>
      </x:c>
      <x:c r="R139" s="55" t="n">
        <x:v>0.39095547348966303</x:v>
      </x:c>
      <x:c r="S139" s="55" t="n">
        <x:v>0.9120152974778526</x:v>
      </x:c>
      <x:c r="T139" s="55" t="n">
        <x:v>1.096472836327928</x:v>
      </x:c>
      <x:c r="U139" s="55" t="n">
        <x:v>0.5303948644859657</x:v>
      </x:c>
      <x:c r="V139" s="55" t="n">
        <x:v>0.814361797429912</x:v>
      </x:c>
      <x:c r="W139" s="55" t="n">
        <x:v>0.8608834106259556</x:v>
      </x:c>
      <x:c r="X139" s="55" t="n">
        <x:v>0.8917349768122133</x:v>
      </x:c>
      <x:c r="Y139" s="54" t="n">
        <x:v>495356.7674401172</x:v>
      </x:c>
      <x:c r="Z139" s="54" t="n">
        <x:v>1068618.7825967146</x:v>
      </x:c>
      <x:c r="AA139" s="54" t="n">
        <x:v>171229.38762066324</x:v>
      </x:c>
      <x:c r="AB139" s="55" t="n">
        <x:v>0.82</x:v>
      </x:c>
      <x:c r="AC139" s="55" t="n">
        <x:v>0.95</x:v>
      </x:c>
      <x:c r="AD139" s="55" t="n">
        <x:v>0.36</x:v>
      </x:c>
      <x:c r="AE139" s="55" t="n">
        <x:v>0.31</x:v>
      </x:c>
      <x:c r="AF139" s="55" t="n">
        <x:v>1</x:v>
      </x:c>
      <x:c r="AG139" s="53" t="str">
        <x:v>NBS China Statistical Yearbook 2025, Table 12-15</x:v>
      </x:c>
      <x:c r="AH139" s="53" t="str">
        <x:v>calibrated reconstruction; not historical author input</x:v>
      </x:c>
    </x:row>
    <x:row r="140" ht="32" hidden="0" customHeight="1">
      <x:c r="A140" s="48" t="str">
        <x:v>x_r18_s2_m1</x:v>
      </x:c>
      <x:c r="B140" s="48" t="str">
        <x:v>r18</x:v>
      </x:c>
      <x:c r="C140" s="48" t="str">
        <x:v>CN-HN</x:v>
      </x:c>
      <x:c r="D140" s="48" t="str">
        <x:v>Hunan</x:v>
      </x:c>
      <x:c r="E140" s="48" t="str">
        <x:v>湖南</x:v>
      </x:c>
      <x:c r="F140" s="48" t="n">
        <x:v>2</x:v>
      </x:c>
      <x:c r="G140" s="48" t="str">
        <x:v>freshwater_capture</x:v>
      </x:c>
      <x:c r="H140" s="48" t="str">
        <x:v>淡水捕捞</x:v>
      </x:c>
      <x:c r="I140" s="48" t="n">
        <x:v>1</x:v>
      </x:c>
      <x:c r="J140" s="48" t="str">
        <x:v>fresh_sales</x:v>
      </x:c>
      <x:c r="K140" s="48" t="str">
        <x:v>鲜销</x:v>
      </x:c>
      <x:c r="L140" s="54" t="n">
        <x:v>1000</x:v>
      </x:c>
      <x:c r="M140" s="54" t="n">
        <x:v>967.1996738022426</x:v>
      </x:c>
      <x:c r="N140" s="55" t="n">
        <x:v>0.67</x:v>
      </x:c>
      <x:c r="O140" s="54" t="n">
        <x:v>648.0237814475026</x:v>
      </x:c>
      <x:c r="P140" s="54" t="n">
        <x:v>777.6285377370032</x:v>
      </x:c>
      <x:c r="Q140" s="55" t="n">
        <x:v>0.04065239551478083</x:v>
      </x:c>
      <x:c r="R140" s="55" t="n">
        <x:v>0.39095547348966303</x:v>
      </x:c>
      <x:c r="S140" s="55" t="n">
        <x:v>0.9120152974778526</x:v>
      </x:c>
      <x:c r="T140" s="55" t="n">
        <x:v>1.096472836327928</x:v>
      </x:c>
      <x:c r="U140" s="55" t="n">
        <x:v>0.5303948644859657</x:v>
      </x:c>
      <x:c r="V140" s="55" t="n">
        <x:v>0.814361797429912</x:v>
      </x:c>
      <x:c r="W140" s="55" t="n">
        <x:v>0.8608834106259556</x:v>
      </x:c>
      <x:c r="X140" s="55" t="n">
        <x:v>0.8917349768122133</x:v>
      </x:c>
      <x:c r="Y140" s="54" t="n">
        <x:v>495356.7674401172</x:v>
      </x:c>
      <x:c r="Z140" s="54" t="n">
        <x:v>1068618.7825967146</x:v>
      </x:c>
      <x:c r="AA140" s="54" t="n">
        <x:v>171229.38762066324</x:v>
      </x:c>
      <x:c r="AB140" s="55" t="n">
        <x:v>0.7</x:v>
      </x:c>
      <x:c r="AC140" s="55" t="n">
        <x:v>0.67</x:v>
      </x:c>
      <x:c r="AD140" s="55" t="n">
        <x:v>0.26</x:v>
      </x:c>
      <x:c r="AE140" s="55" t="n">
        <x:v>0.42</x:v>
      </x:c>
      <x:c r="AF140" s="55" t="n">
        <x:v>0.7</x:v>
      </x:c>
      <x:c r="AG140" s="53" t="str">
        <x:v>NBS China Statistical Yearbook 2025, Table 12-15</x:v>
      </x:c>
      <x:c r="AH140" s="53" t="str">
        <x:v>calibrated reconstruction; not historical author input</x:v>
      </x:c>
    </x:row>
    <x:row r="141" ht="32" hidden="0" customHeight="1">
      <x:c r="A141" s="48" t="str">
        <x:v>x_r18_s2_m2</x:v>
      </x:c>
      <x:c r="B141" s="48" t="str">
        <x:v>r18</x:v>
      </x:c>
      <x:c r="C141" s="48" t="str">
        <x:v>CN-HN</x:v>
      </x:c>
      <x:c r="D141" s="48" t="str">
        <x:v>Hunan</x:v>
      </x:c>
      <x:c r="E141" s="48" t="str">
        <x:v>湖南</x:v>
      </x:c>
      <x:c r="F141" s="48" t="n">
        <x:v>2</x:v>
      </x:c>
      <x:c r="G141" s="48" t="str">
        <x:v>freshwater_capture</x:v>
      </x:c>
      <x:c r="H141" s="48" t="str">
        <x:v>淡水捕捞</x:v>
      </x:c>
      <x:c r="I141" s="48" t="n">
        <x:v>2</x:v>
      </x:c>
      <x:c r="J141" s="48" t="str">
        <x:v>deep_processing</x:v>
      </x:c>
      <x:c r="K141" s="48" t="str">
        <x:v>深加工</x:v>
      </x:c>
      <x:c r="L141" s="54" t="n">
        <x:v>1000</x:v>
      </x:c>
      <x:c r="M141" s="54" t="n">
        <x:v>967.1996738022426</x:v>
      </x:c>
      <x:c r="N141" s="55" t="n">
        <x:v>0.33</x:v>
      </x:c>
      <x:c r="O141" s="54" t="n">
        <x:v>319.1758923547401</x:v>
      </x:c>
      <x:c r="P141" s="54" t="n">
        <x:v>383.0110708256881</x:v>
      </x:c>
      <x:c r="Q141" s="55" t="n">
        <x:v>0.04065239551478083</x:v>
      </x:c>
      <x:c r="R141" s="55" t="n">
        <x:v>0.39095547348966303</x:v>
      </x:c>
      <x:c r="S141" s="55" t="n">
        <x:v>0.9120152974778526</x:v>
      </x:c>
      <x:c r="T141" s="55" t="n">
        <x:v>1.096472836327928</x:v>
      </x:c>
      <x:c r="U141" s="55" t="n">
        <x:v>0.5303948644859657</x:v>
      </x:c>
      <x:c r="V141" s="55" t="n">
        <x:v>0.814361797429912</x:v>
      </x:c>
      <x:c r="W141" s="55" t="n">
        <x:v>0.8608834106259556</x:v>
      </x:c>
      <x:c r="X141" s="55" t="n">
        <x:v>0.8917349768122133</x:v>
      </x:c>
      <x:c r="Y141" s="54" t="n">
        <x:v>495356.7674401172</x:v>
      </x:c>
      <x:c r="Z141" s="54" t="n">
        <x:v>1068618.7825967146</x:v>
      </x:c>
      <x:c r="AA141" s="54" t="n">
        <x:v>171229.38762066324</x:v>
      </x:c>
      <x:c r="AB141" s="55" t="n">
        <x:v>0.86</x:v>
      </x:c>
      <x:c r="AC141" s="55" t="n">
        <x:v>0.99</x:v>
      </x:c>
      <x:c r="AD141" s="55" t="n">
        <x:v>0.34</x:v>
      </x:c>
      <x:c r="AE141" s="55" t="n">
        <x:v>0.45</x:v>
      </x:c>
      <x:c r="AF141" s="55" t="n">
        <x:v>0.7</x:v>
      </x:c>
      <x:c r="AG141" s="53" t="str">
        <x:v>NBS China Statistical Yearbook 2025, Table 12-15</x:v>
      </x:c>
      <x:c r="AH141" s="53" t="str">
        <x:v>calibrated reconstruction; not historical author input</x:v>
      </x:c>
    </x:row>
    <x:row r="142" ht="32" hidden="0" customHeight="1">
      <x:c r="A142" s="48" t="str">
        <x:v>x_r18_s3_m1</x:v>
      </x:c>
      <x:c r="B142" s="48" t="str">
        <x:v>r18</x:v>
      </x:c>
      <x:c r="C142" s="48" t="str">
        <x:v>CN-HN</x:v>
      </x:c>
      <x:c r="D142" s="48" t="str">
        <x:v>Hunan</x:v>
      </x:c>
      <x:c r="E142" s="48" t="str">
        <x:v>湖南</x:v>
      </x:c>
      <x:c r="F142" s="48" t="n">
        <x:v>3</x:v>
      </x:c>
      <x:c r="G142" s="48" t="str">
        <x:v>marine_aquaculture</x:v>
      </x:c>
      <x:c r="H142" s="48" t="str">
        <x:v>海水养殖</x:v>
      </x:c>
      <x:c r="I142" s="48" t="n">
        <x:v>1</x:v>
      </x:c>
      <x:c r="J142" s="48" t="str">
        <x:v>fresh_sales</x:v>
      </x:c>
      <x:c r="K142" s="48" t="str">
        <x:v>鲜销</x:v>
      </x:c>
      <x:c r="L142" s="54" t="n">
        <x:v>0</x:v>
      </x:c>
      <x:c r="M142" s="54" t="n">
        <x:v>0</x:v>
      </x:c>
      <x:c r="N142" s="55" t="n">
        <x:v>0.74</x:v>
      </x:c>
      <x:c r="O142" s="54" t="n">
        <x:v>0</x:v>
      </x:c>
      <x:c r="P142" s="54" t="n">
        <x:v>0</x:v>
      </x:c>
      <x:c r="Q142" s="55" t="n">
        <x:v>0.04065239551478083</x:v>
      </x:c>
      <x:c r="R142" s="55" t="n">
        <x:v>0.39095547348966303</x:v>
      </x:c>
      <x:c r="S142" s="55" t="n">
        <x:v>0.9120152974778526</x:v>
      </x:c>
      <x:c r="T142" s="55" t="n">
        <x:v>1.096472836327928</x:v>
      </x:c>
      <x:c r="U142" s="55" t="n">
        <x:v>0.5303948644859657</x:v>
      </x:c>
      <x:c r="V142" s="55" t="n">
        <x:v>0.814361797429912</x:v>
      </x:c>
      <x:c r="W142" s="55" t="n">
        <x:v>0.8608834106259556</x:v>
      </x:c>
      <x:c r="X142" s="55" t="n">
        <x:v>0.8917349768122133</x:v>
      </x:c>
      <x:c r="Y142" s="54" t="n">
        <x:v>495356.7674401172</x:v>
      </x:c>
      <x:c r="Z142" s="54" t="n">
        <x:v>1068618.7825967146</x:v>
      </x:c>
      <x:c r="AA142" s="54" t="n">
        <x:v>171229.38762066324</x:v>
      </x:c>
      <x:c r="AB142" s="55" t="n">
        <x:v>0.84</x:v>
      </x:c>
      <x:c r="AC142" s="55" t="n">
        <x:v>0.8</x:v>
      </x:c>
      <x:c r="AD142" s="55" t="n">
        <x:v>0.33</x:v>
      </x:c>
      <x:c r="AE142" s="55" t="n">
        <x:v>0.78</x:v>
      </x:c>
      <x:c r="AF142" s="55" t="n">
        <x:v>0.11</x:v>
      </x:c>
      <x:c r="AG142" s="53" t="str">
        <x:v>NBS China Statistical Yearbook 2025, Table 12-15</x:v>
      </x:c>
      <x:c r="AH142" s="53" t="str">
        <x:v>calibrated reconstruction; not historical author input</x:v>
      </x:c>
    </x:row>
    <x:row r="143" ht="32" hidden="0" customHeight="1">
      <x:c r="A143" s="48" t="str">
        <x:v>x_r18_s3_m2</x:v>
      </x:c>
      <x:c r="B143" s="48" t="str">
        <x:v>r18</x:v>
      </x:c>
      <x:c r="C143" s="48" t="str">
        <x:v>CN-HN</x:v>
      </x:c>
      <x:c r="D143" s="48" t="str">
        <x:v>Hunan</x:v>
      </x:c>
      <x:c r="E143" s="48" t="str">
        <x:v>湖南</x:v>
      </x:c>
      <x:c r="F143" s="48" t="n">
        <x:v>3</x:v>
      </x:c>
      <x:c r="G143" s="48" t="str">
        <x:v>marine_aquaculture</x:v>
      </x:c>
      <x:c r="H143" s="48" t="str">
        <x:v>海水养殖</x:v>
      </x:c>
      <x:c r="I143" s="48" t="n">
        <x:v>2</x:v>
      </x:c>
      <x:c r="J143" s="48" t="str">
        <x:v>deep_processing</x:v>
      </x:c>
      <x:c r="K143" s="48" t="str">
        <x:v>深加工</x:v>
      </x:c>
      <x:c r="L143" s="54" t="n">
        <x:v>0</x:v>
      </x:c>
      <x:c r="M143" s="54" t="n">
        <x:v>0</x:v>
      </x:c>
      <x:c r="N143" s="55" t="n">
        <x:v>0.26</x:v>
      </x:c>
      <x:c r="O143" s="54" t="n">
        <x:v>0</x:v>
      </x:c>
      <x:c r="P143" s="54" t="n">
        <x:v>0</x:v>
      </x:c>
      <x:c r="Q143" s="55" t="n">
        <x:v>0.04065239551478083</x:v>
      </x:c>
      <x:c r="R143" s="55" t="n">
        <x:v>0.39095547348966303</x:v>
      </x:c>
      <x:c r="S143" s="55" t="n">
        <x:v>0.9120152974778526</x:v>
      </x:c>
      <x:c r="T143" s="55" t="n">
        <x:v>1.096472836327928</x:v>
      </x:c>
      <x:c r="U143" s="55" t="n">
        <x:v>0.5303948644859657</x:v>
      </x:c>
      <x:c r="V143" s="55" t="n">
        <x:v>0.814361797429912</x:v>
      </x:c>
      <x:c r="W143" s="55" t="n">
        <x:v>0.8608834106259556</x:v>
      </x:c>
      <x:c r="X143" s="55" t="n">
        <x:v>0.8917349768122133</x:v>
      </x:c>
      <x:c r="Y143" s="54" t="n">
        <x:v>495356.7674401172</x:v>
      </x:c>
      <x:c r="Z143" s="54" t="n">
        <x:v>1068618.7825967146</x:v>
      </x:c>
      <x:c r="AA143" s="54" t="n">
        <x:v>171229.38762066324</x:v>
      </x:c>
      <x:c r="AB143" s="55" t="n">
        <x:v>1.02</x:v>
      </x:c>
      <x:c r="AC143" s="55" t="n">
        <x:v>1.16</x:v>
      </x:c>
      <x:c r="AD143" s="55" t="n">
        <x:v>0.41</x:v>
      </x:c>
      <x:c r="AE143" s="55" t="n">
        <x:v>0.81</x:v>
      </x:c>
      <x:c r="AF143" s="55" t="n">
        <x:v>0.11</x:v>
      </x:c>
      <x:c r="AG143" s="53" t="str">
        <x:v>NBS China Statistical Yearbook 2025, Table 12-15</x:v>
      </x:c>
      <x:c r="AH143" s="53" t="str">
        <x:v>calibrated reconstruction; not historical author input</x:v>
      </x:c>
    </x:row>
    <x:row r="144" ht="32" hidden="0" customHeight="1">
      <x:c r="A144" s="48" t="str">
        <x:v>x_r18_s4_m1</x:v>
      </x:c>
      <x:c r="B144" s="48" t="str">
        <x:v>r18</x:v>
      </x:c>
      <x:c r="C144" s="48" t="str">
        <x:v>CN-HN</x:v>
      </x:c>
      <x:c r="D144" s="48" t="str">
        <x:v>Hunan</x:v>
      </x:c>
      <x:c r="E144" s="48" t="str">
        <x:v>湖南</x:v>
      </x:c>
      <x:c r="F144" s="48" t="n">
        <x:v>4</x:v>
      </x:c>
      <x:c r="G144" s="48" t="str">
        <x:v>freshwater_aquaculture</x:v>
      </x:c>
      <x:c r="H144" s="48" t="str">
        <x:v>淡水养殖</x:v>
      </x:c>
      <x:c r="I144" s="48" t="n">
        <x:v>1</x:v>
      </x:c>
      <x:c r="J144" s="48" t="str">
        <x:v>fresh_sales</x:v>
      </x:c>
      <x:c r="K144" s="48" t="str">
        <x:v>鲜销</x:v>
      </x:c>
      <x:c r="L144" s="54" t="n">
        <x:v>2990000</x:v>
      </x:c>
      <x:c r="M144" s="54" t="n">
        <x:v>2891927.024668705</x:v>
      </x:c>
      <x:c r="N144" s="55" t="n">
        <x:v>0.78</x:v>
      </x:c>
      <x:c r="O144" s="54" t="n">
        <x:v>2255703.07924159</x:v>
      </x:c>
      <x:c r="P144" s="54" t="n">
        <x:v>2706843.695089908</x:v>
      </x:c>
      <x:c r="Q144" s="55" t="n">
        <x:v>0.04065239551478083</x:v>
      </x:c>
      <x:c r="R144" s="55" t="n">
        <x:v>0.39095547348966303</x:v>
      </x:c>
      <x:c r="S144" s="55" t="n">
        <x:v>0.9120152974778526</x:v>
      </x:c>
      <x:c r="T144" s="55" t="n">
        <x:v>1.096472836327928</x:v>
      </x:c>
      <x:c r="U144" s="55" t="n">
        <x:v>0.5303948644859657</x:v>
      </x:c>
      <x:c r="V144" s="55" t="n">
        <x:v>0.814361797429912</x:v>
      </x:c>
      <x:c r="W144" s="55" t="n">
        <x:v>0.8608834106259556</x:v>
      </x:c>
      <x:c r="X144" s="55" t="n">
        <x:v>0.8917349768122133</x:v>
      </x:c>
      <x:c r="Y144" s="54" t="n">
        <x:v>495356.7674401172</x:v>
      </x:c>
      <x:c r="Z144" s="54" t="n">
        <x:v>1068618.7825967146</x:v>
      </x:c>
      <x:c r="AA144" s="54" t="n">
        <x:v>171229.38762066324</x:v>
      </x:c>
      <x:c r="AB144" s="55" t="n">
        <x:v>0.88</x:v>
      </x:c>
      <x:c r="AC144" s="55" t="n">
        <x:v>0.84</x:v>
      </x:c>
      <x:c r="AD144" s="55" t="n">
        <x:v>0.31</x:v>
      </x:c>
      <x:c r="AE144" s="55" t="n">
        <x:v>0.88</x:v>
      </x:c>
      <x:c r="AF144" s="55" t="n">
        <x:v>0.08</x:v>
      </x:c>
      <x:c r="AG144" s="53" t="str">
        <x:v>NBS China Statistical Yearbook 2025, Table 12-15</x:v>
      </x:c>
      <x:c r="AH144" s="53" t="str">
        <x:v>calibrated reconstruction; not historical author input</x:v>
      </x:c>
    </x:row>
    <x:row r="145" ht="32" hidden="0" customHeight="1">
      <x:c r="A145" s="48" t="str">
        <x:v>x_r18_s4_m2</x:v>
      </x:c>
      <x:c r="B145" s="48" t="str">
        <x:v>r18</x:v>
      </x:c>
      <x:c r="C145" s="48" t="str">
        <x:v>CN-HN</x:v>
      </x:c>
      <x:c r="D145" s="48" t="str">
        <x:v>Hunan</x:v>
      </x:c>
      <x:c r="E145" s="48" t="str">
        <x:v>湖南</x:v>
      </x:c>
      <x:c r="F145" s="48" t="n">
        <x:v>4</x:v>
      </x:c>
      <x:c r="G145" s="48" t="str">
        <x:v>freshwater_aquaculture</x:v>
      </x:c>
      <x:c r="H145" s="48" t="str">
        <x:v>淡水养殖</x:v>
      </x:c>
      <x:c r="I145" s="48" t="n">
        <x:v>2</x:v>
      </x:c>
      <x:c r="J145" s="48" t="str">
        <x:v>deep_processing</x:v>
      </x:c>
      <x:c r="K145" s="48" t="str">
        <x:v>深加工</x:v>
      </x:c>
      <x:c r="L145" s="54" t="n">
        <x:v>2990000</x:v>
      </x:c>
      <x:c r="M145" s="54" t="n">
        <x:v>2891927.024668705</x:v>
      </x:c>
      <x:c r="N145" s="55" t="n">
        <x:v>0.22</x:v>
      </x:c>
      <x:c r="O145" s="54" t="n">
        <x:v>636223.9454271152</x:v>
      </x:c>
      <x:c r="P145" s="54" t="n">
        <x:v>763468.7345125382</x:v>
      </x:c>
      <x:c r="Q145" s="55" t="n">
        <x:v>0.04065239551478083</x:v>
      </x:c>
      <x:c r="R145" s="55" t="n">
        <x:v>0.39095547348966303</x:v>
      </x:c>
      <x:c r="S145" s="55" t="n">
        <x:v>0.9120152974778526</x:v>
      </x:c>
      <x:c r="T145" s="55" t="n">
        <x:v>1.096472836327928</x:v>
      </x:c>
      <x:c r="U145" s="55" t="n">
        <x:v>0.5303948644859657</x:v>
      </x:c>
      <x:c r="V145" s="55" t="n">
        <x:v>0.814361797429912</x:v>
      </x:c>
      <x:c r="W145" s="55" t="n">
        <x:v>0.8608834106259556</x:v>
      </x:c>
      <x:c r="X145" s="55" t="n">
        <x:v>0.8917349768122133</x:v>
      </x:c>
      <x:c r="Y145" s="54" t="n">
        <x:v>495356.7674401172</x:v>
      </x:c>
      <x:c r="Z145" s="54" t="n">
        <x:v>1068618.7825967146</x:v>
      </x:c>
      <x:c r="AA145" s="54" t="n">
        <x:v>171229.38762066324</x:v>
      </x:c>
      <x:c r="AB145" s="55" t="n">
        <x:v>1.06</x:v>
      </x:c>
      <x:c r="AC145" s="55" t="n">
        <x:v>1.2</x:v>
      </x:c>
      <x:c r="AD145" s="55" t="n">
        <x:v>0.39</x:v>
      </x:c>
      <x:c r="AE145" s="55" t="n">
        <x:v>0.91</x:v>
      </x:c>
      <x:c r="AF145" s="55" t="n">
        <x:v>0.08</x:v>
      </x:c>
      <x:c r="AG145" s="53" t="str">
        <x:v>NBS China Statistical Yearbook 2025, Table 12-15</x:v>
      </x:c>
      <x:c r="AH145" s="53" t="str">
        <x:v>calibrated reconstruction; not historical author input</x:v>
      </x:c>
    </x:row>
    <x:row r="146" ht="32" hidden="0" customHeight="1">
      <x:c r="A146" s="48" t="str">
        <x:v>x_r19_s1_m1</x:v>
      </x:c>
      <x:c r="B146" s="48" t="str">
        <x:v>r19</x:v>
      </x:c>
      <x:c r="C146" s="48" t="str">
        <x:v>CN-GD</x:v>
      </x:c>
      <x:c r="D146" s="48" t="str">
        <x:v>Guangdong</x:v>
      </x:c>
      <x:c r="E146" s="48" t="str">
        <x:v>广东</x:v>
      </x:c>
      <x:c r="F146" s="48" t="n">
        <x:v>1</x:v>
      </x:c>
      <x:c r="G146" s="48" t="str">
        <x:v>marine_capture</x:v>
      </x:c>
      <x:c r="H146" s="48" t="str">
        <x:v>海洋捕捞</x:v>
      </x:c>
      <x:c r="I146" s="48" t="n">
        <x:v>1</x:v>
      </x:c>
      <x:c r="J146" s="48" t="str">
        <x:v>fresh_sales</x:v>
      </x:c>
      <x:c r="K146" s="48" t="str">
        <x:v>鲜销</x:v>
      </x:c>
      <x:c r="L146" s="54" t="n">
        <x:v>1315000</x:v>
      </x:c>
      <x:c r="M146" s="54" t="n">
        <x:v>1271867.571049949</x:v>
      </x:c>
      <x:c r="N146" s="55" t="n">
        <x:v>0.62</x:v>
      </x:c>
      <x:c r="O146" s="54" t="n">
        <x:v>788557.8940509683</x:v>
      </x:c>
      <x:c r="P146" s="54" t="n">
        <x:v>946269.4728611619</x:v>
      </x:c>
      <x:c r="Q146" s="55" t="n">
        <x:v>0.13133537206931703</x:v>
      </x:c>
      <x:c r="R146" s="55" t="n">
        <x:v>0.45332317764958413</x:v>
      </x:c>
      <x:c r="S146" s="55" t="n">
        <x:v>1.2459214794016555</x:v>
      </x:c>
      <x:c r="T146" s="55" t="n">
        <x:v>0.802618797839686</x:v>
      </x:c>
      <x:c r="U146" s="55" t="n">
        <x:v>0.3330900973978719</x:v>
      </x:c>
      <x:c r="V146" s="55" t="n">
        <x:v>0.8834184659107449</x:v>
      </x:c>
      <x:c r="W146" s="55" t="n">
        <x:v>0.9614439749497273</x:v>
      </x:c>
      <x:c r="X146" s="55" t="n">
        <x:v>0.8615668075150817</x:v>
      </x:c>
      <x:c r="Y146" s="54" t="n">
        <x:v>1425838.2901814221</x:v>
      </x:c>
      <x:c r="Z146" s="54" t="n">
        <x:v>3659143.9370381194</x:v>
      </x:c>
      <x:c r="AA146" s="54" t="n">
        <x:v>2127031.81174881</x:v>
      </x:c>
      <x:c r="AB146" s="55" t="n">
        <x:v>0.65</x:v>
      </x:c>
      <x:c r="AC146" s="55" t="n">
        <x:v>0.62</x:v>
      </x:c>
      <x:c r="AD146" s="55" t="n">
        <x:v>0.29</x:v>
      </x:c>
      <x:c r="AE146" s="55" t="n">
        <x:v>0.28</x:v>
      </x:c>
      <x:c r="AF146" s="55" t="n">
        <x:v>1</x:v>
      </x:c>
      <x:c r="AG146" s="53" t="str">
        <x:v>NBS China Statistical Yearbook 2025, Table 12-15</x:v>
      </x:c>
      <x:c r="AH146" s="53" t="str">
        <x:v>calibrated reconstruction; not historical author input</x:v>
      </x:c>
    </x:row>
    <x:row r="147" ht="32" hidden="0" customHeight="1">
      <x:c r="A147" s="48" t="str">
        <x:v>x_r19_s1_m2</x:v>
      </x:c>
      <x:c r="B147" s="48" t="str">
        <x:v>r19</x:v>
      </x:c>
      <x:c r="C147" s="48" t="str">
        <x:v>CN-GD</x:v>
      </x:c>
      <x:c r="D147" s="48" t="str">
        <x:v>Guangdong</x:v>
      </x:c>
      <x:c r="E147" s="48" t="str">
        <x:v>广东</x:v>
      </x:c>
      <x:c r="F147" s="48" t="n">
        <x:v>1</x:v>
      </x:c>
      <x:c r="G147" s="48" t="str">
        <x:v>marine_capture</x:v>
      </x:c>
      <x:c r="H147" s="48" t="str">
        <x:v>海洋捕捞</x:v>
      </x:c>
      <x:c r="I147" s="48" t="n">
        <x:v>2</x:v>
      </x:c>
      <x:c r="J147" s="48" t="str">
        <x:v>deep_processing</x:v>
      </x:c>
      <x:c r="K147" s="48" t="str">
        <x:v>深加工</x:v>
      </x:c>
      <x:c r="L147" s="54" t="n">
        <x:v>1315000</x:v>
      </x:c>
      <x:c r="M147" s="54" t="n">
        <x:v>1271867.571049949</x:v>
      </x:c>
      <x:c r="N147" s="55" t="n">
        <x:v>0.38</x:v>
      </x:c>
      <x:c r="O147" s="54" t="n">
        <x:v>483309.6769989806</x:v>
      </x:c>
      <x:c r="P147" s="54" t="n">
        <x:v>579971.6123987767</x:v>
      </x:c>
      <x:c r="Q147" s="55" t="n">
        <x:v>0.13133537206931703</x:v>
      </x:c>
      <x:c r="R147" s="55" t="n">
        <x:v>0.45332317764958413</x:v>
      </x:c>
      <x:c r="S147" s="55" t="n">
        <x:v>1.2459214794016555</x:v>
      </x:c>
      <x:c r="T147" s="55" t="n">
        <x:v>0.802618797839686</x:v>
      </x:c>
      <x:c r="U147" s="55" t="n">
        <x:v>0.3330900973978719</x:v>
      </x:c>
      <x:c r="V147" s="55" t="n">
        <x:v>0.8834184659107449</x:v>
      </x:c>
      <x:c r="W147" s="55" t="n">
        <x:v>0.9614439749497273</x:v>
      </x:c>
      <x:c r="X147" s="55" t="n">
        <x:v>0.8615668075150817</x:v>
      </x:c>
      <x:c r="Y147" s="54" t="n">
        <x:v>1425838.2901814221</x:v>
      </x:c>
      <x:c r="Z147" s="54" t="n">
        <x:v>3659143.9370381194</x:v>
      </x:c>
      <x:c r="AA147" s="54" t="n">
        <x:v>2127031.81174881</x:v>
      </x:c>
      <x:c r="AB147" s="55" t="n">
        <x:v>0.82</x:v>
      </x:c>
      <x:c r="AC147" s="55" t="n">
        <x:v>0.95</x:v>
      </x:c>
      <x:c r="AD147" s="55" t="n">
        <x:v>0.36</x:v>
      </x:c>
      <x:c r="AE147" s="55" t="n">
        <x:v>0.31</x:v>
      </x:c>
      <x:c r="AF147" s="55" t="n">
        <x:v>1</x:v>
      </x:c>
      <x:c r="AG147" s="53" t="str">
        <x:v>NBS China Statistical Yearbook 2025, Table 12-15</x:v>
      </x:c>
      <x:c r="AH147" s="53" t="str">
        <x:v>calibrated reconstruction; not historical author input</x:v>
      </x:c>
    </x:row>
    <x:row r="148" ht="32" hidden="0" customHeight="1">
      <x:c r="A148" s="48" t="str">
        <x:v>x_r19_s2_m1</x:v>
      </x:c>
      <x:c r="B148" s="48" t="str">
        <x:v>r19</x:v>
      </x:c>
      <x:c r="C148" s="48" t="str">
        <x:v>CN-GD</x:v>
      </x:c>
      <x:c r="D148" s="48" t="str">
        <x:v>Guangdong</x:v>
      </x:c>
      <x:c r="E148" s="48" t="str">
        <x:v>广东</x:v>
      </x:c>
      <x:c r="F148" s="48" t="n">
        <x:v>2</x:v>
      </x:c>
      <x:c r="G148" s="48" t="str">
        <x:v>freshwater_capture</x:v>
      </x:c>
      <x:c r="H148" s="48" t="str">
        <x:v>淡水捕捞</x:v>
      </x:c>
      <x:c r="I148" s="48" t="n">
        <x:v>1</x:v>
      </x:c>
      <x:c r="J148" s="48" t="str">
        <x:v>fresh_sales</x:v>
      </x:c>
      <x:c r="K148" s="48" t="str">
        <x:v>鲜销</x:v>
      </x:c>
      <x:c r="L148" s="54" t="n">
        <x:v>72000</x:v>
      </x:c>
      <x:c r="M148" s="54" t="n">
        <x:v>69638.37651376147</x:v>
      </x:c>
      <x:c r="N148" s="55" t="n">
        <x:v>0.67</x:v>
      </x:c>
      <x:c r="O148" s="54" t="n">
        <x:v>46657.71226422019</x:v>
      </x:c>
      <x:c r="P148" s="54" t="n">
        <x:v>55989.25471706422</x:v>
      </x:c>
      <x:c r="Q148" s="55" t="n">
        <x:v>0.13133537206931703</x:v>
      </x:c>
      <x:c r="R148" s="55" t="n">
        <x:v>0.45332317764958413</x:v>
      </x:c>
      <x:c r="S148" s="55" t="n">
        <x:v>1.2459214794016555</x:v>
      </x:c>
      <x:c r="T148" s="55" t="n">
        <x:v>0.802618797839686</x:v>
      </x:c>
      <x:c r="U148" s="55" t="n">
        <x:v>0.3330900973978719</x:v>
      </x:c>
      <x:c r="V148" s="55" t="n">
        <x:v>0.8834184659107449</x:v>
      </x:c>
      <x:c r="W148" s="55" t="n">
        <x:v>0.9614439749497273</x:v>
      </x:c>
      <x:c r="X148" s="55" t="n">
        <x:v>0.8615668075150817</x:v>
      </x:c>
      <x:c r="Y148" s="54" t="n">
        <x:v>1425838.2901814221</x:v>
      </x:c>
      <x:c r="Z148" s="54" t="n">
        <x:v>3659143.9370381194</x:v>
      </x:c>
      <x:c r="AA148" s="54" t="n">
        <x:v>2127031.81174881</x:v>
      </x:c>
      <x:c r="AB148" s="55" t="n">
        <x:v>0.7</x:v>
      </x:c>
      <x:c r="AC148" s="55" t="n">
        <x:v>0.67</x:v>
      </x:c>
      <x:c r="AD148" s="55" t="n">
        <x:v>0.26</x:v>
      </x:c>
      <x:c r="AE148" s="55" t="n">
        <x:v>0.42</x:v>
      </x:c>
      <x:c r="AF148" s="55" t="n">
        <x:v>0.7</x:v>
      </x:c>
      <x:c r="AG148" s="53" t="str">
        <x:v>NBS China Statistical Yearbook 2025, Table 12-15</x:v>
      </x:c>
      <x:c r="AH148" s="53" t="str">
        <x:v>calibrated reconstruction; not historical author input</x:v>
      </x:c>
    </x:row>
    <x:row r="149" ht="32" hidden="0" customHeight="1">
      <x:c r="A149" s="48" t="str">
        <x:v>x_r19_s2_m2</x:v>
      </x:c>
      <x:c r="B149" s="48" t="str">
        <x:v>r19</x:v>
      </x:c>
      <x:c r="C149" s="48" t="str">
        <x:v>CN-GD</x:v>
      </x:c>
      <x:c r="D149" s="48" t="str">
        <x:v>Guangdong</x:v>
      </x:c>
      <x:c r="E149" s="48" t="str">
        <x:v>广东</x:v>
      </x:c>
      <x:c r="F149" s="48" t="n">
        <x:v>2</x:v>
      </x:c>
      <x:c r="G149" s="48" t="str">
        <x:v>freshwater_capture</x:v>
      </x:c>
      <x:c r="H149" s="48" t="str">
        <x:v>淡水捕捞</x:v>
      </x:c>
      <x:c r="I149" s="48" t="n">
        <x:v>2</x:v>
      </x:c>
      <x:c r="J149" s="48" t="str">
        <x:v>deep_processing</x:v>
      </x:c>
      <x:c r="K149" s="48" t="str">
        <x:v>深加工</x:v>
      </x:c>
      <x:c r="L149" s="54" t="n">
        <x:v>72000</x:v>
      </x:c>
      <x:c r="M149" s="54" t="n">
        <x:v>69638.37651376147</x:v>
      </x:c>
      <x:c r="N149" s="55" t="n">
        <x:v>0.33</x:v>
      </x:c>
      <x:c r="O149" s="54" t="n">
        <x:v>22980.664249541285</x:v>
      </x:c>
      <x:c r="P149" s="54" t="n">
        <x:v>27576.79709944954</x:v>
      </x:c>
      <x:c r="Q149" s="55" t="n">
        <x:v>0.13133537206931703</x:v>
      </x:c>
      <x:c r="R149" s="55" t="n">
        <x:v>0.45332317764958413</x:v>
      </x:c>
      <x:c r="S149" s="55" t="n">
        <x:v>1.2459214794016555</x:v>
      </x:c>
      <x:c r="T149" s="55" t="n">
        <x:v>0.802618797839686</x:v>
      </x:c>
      <x:c r="U149" s="55" t="n">
        <x:v>0.3330900973978719</x:v>
      </x:c>
      <x:c r="V149" s="55" t="n">
        <x:v>0.8834184659107449</x:v>
      </x:c>
      <x:c r="W149" s="55" t="n">
        <x:v>0.9614439749497273</x:v>
      </x:c>
      <x:c r="X149" s="55" t="n">
        <x:v>0.8615668075150817</x:v>
      </x:c>
      <x:c r="Y149" s="54" t="n">
        <x:v>1425838.2901814221</x:v>
      </x:c>
      <x:c r="Z149" s="54" t="n">
        <x:v>3659143.9370381194</x:v>
      </x:c>
      <x:c r="AA149" s="54" t="n">
        <x:v>2127031.81174881</x:v>
      </x:c>
      <x:c r="AB149" s="55" t="n">
        <x:v>0.86</x:v>
      </x:c>
      <x:c r="AC149" s="55" t="n">
        <x:v>0.99</x:v>
      </x:c>
      <x:c r="AD149" s="55" t="n">
        <x:v>0.34</x:v>
      </x:c>
      <x:c r="AE149" s="55" t="n">
        <x:v>0.45</x:v>
      </x:c>
      <x:c r="AF149" s="55" t="n">
        <x:v>0.7</x:v>
      </x:c>
      <x:c r="AG149" s="53" t="str">
        <x:v>NBS China Statistical Yearbook 2025, Table 12-15</x:v>
      </x:c>
      <x:c r="AH149" s="53" t="str">
        <x:v>calibrated reconstruction; not historical author input</x:v>
      </x:c>
    </x:row>
    <x:row r="150" ht="32" hidden="0" customHeight="1">
      <x:c r="A150" s="48" t="str">
        <x:v>x_r19_s3_m1</x:v>
      </x:c>
      <x:c r="B150" s="48" t="str">
        <x:v>r19</x:v>
      </x:c>
      <x:c r="C150" s="48" t="str">
        <x:v>CN-GD</x:v>
      </x:c>
      <x:c r="D150" s="48" t="str">
        <x:v>Guangdong</x:v>
      </x:c>
      <x:c r="E150" s="48" t="str">
        <x:v>广东</x:v>
      </x:c>
      <x:c r="F150" s="48" t="n">
        <x:v>3</x:v>
      </x:c>
      <x:c r="G150" s="48" t="str">
        <x:v>marine_aquaculture</x:v>
      </x:c>
      <x:c r="H150" s="48" t="str">
        <x:v>海水养殖</x:v>
      </x:c>
      <x:c r="I150" s="48" t="n">
        <x:v>1</x:v>
      </x:c>
      <x:c r="J150" s="48" t="str">
        <x:v>fresh_sales</x:v>
      </x:c>
      <x:c r="K150" s="48" t="str">
        <x:v>鲜销</x:v>
      </x:c>
      <x:c r="L150" s="54" t="n">
        <x:v>3768000</x:v>
      </x:c>
      <x:c r="M150" s="54" t="n">
        <x:v>3644408.37088685</x:v>
      </x:c>
      <x:c r="N150" s="55" t="n">
        <x:v>0.74</x:v>
      </x:c>
      <x:c r="O150" s="54" t="n">
        <x:v>2696862.194456269</x:v>
      </x:c>
      <x:c r="P150" s="54" t="n">
        <x:v>3236234.633347523</x:v>
      </x:c>
      <x:c r="Q150" s="55" t="n">
        <x:v>0.13133537206931703</x:v>
      </x:c>
      <x:c r="R150" s="55" t="n">
        <x:v>0.45332317764958413</x:v>
      </x:c>
      <x:c r="S150" s="55" t="n">
        <x:v>1.2459214794016555</x:v>
      </x:c>
      <x:c r="T150" s="55" t="n">
        <x:v>0.802618797839686</x:v>
      </x:c>
      <x:c r="U150" s="55" t="n">
        <x:v>0.3330900973978719</x:v>
      </x:c>
      <x:c r="V150" s="55" t="n">
        <x:v>0.8834184659107449</x:v>
      </x:c>
      <x:c r="W150" s="55" t="n">
        <x:v>0.9614439749497273</x:v>
      </x:c>
      <x:c r="X150" s="55" t="n">
        <x:v>0.8615668075150817</x:v>
      </x:c>
      <x:c r="Y150" s="54" t="n">
        <x:v>1425838.2901814221</x:v>
      </x:c>
      <x:c r="Z150" s="54" t="n">
        <x:v>3659143.9370381194</x:v>
      </x:c>
      <x:c r="AA150" s="54" t="n">
        <x:v>2127031.81174881</x:v>
      </x:c>
      <x:c r="AB150" s="55" t="n">
        <x:v>0.84</x:v>
      </x:c>
      <x:c r="AC150" s="55" t="n">
        <x:v>0.8</x:v>
      </x:c>
      <x:c r="AD150" s="55" t="n">
        <x:v>0.33</x:v>
      </x:c>
      <x:c r="AE150" s="55" t="n">
        <x:v>0.78</x:v>
      </x:c>
      <x:c r="AF150" s="55" t="n">
        <x:v>0.11</x:v>
      </x:c>
      <x:c r="AG150" s="53" t="str">
        <x:v>NBS China Statistical Yearbook 2025, Table 12-15</x:v>
      </x:c>
      <x:c r="AH150" s="53" t="str">
        <x:v>calibrated reconstruction; not historical author input</x:v>
      </x:c>
    </x:row>
    <x:row r="151" ht="32" hidden="0" customHeight="1">
      <x:c r="A151" s="48" t="str">
        <x:v>x_r19_s3_m2</x:v>
      </x:c>
      <x:c r="B151" s="48" t="str">
        <x:v>r19</x:v>
      </x:c>
      <x:c r="C151" s="48" t="str">
        <x:v>CN-GD</x:v>
      </x:c>
      <x:c r="D151" s="48" t="str">
        <x:v>Guangdong</x:v>
      </x:c>
      <x:c r="E151" s="48" t="str">
        <x:v>广东</x:v>
      </x:c>
      <x:c r="F151" s="48" t="n">
        <x:v>3</x:v>
      </x:c>
      <x:c r="G151" s="48" t="str">
        <x:v>marine_aquaculture</x:v>
      </x:c>
      <x:c r="H151" s="48" t="str">
        <x:v>海水养殖</x:v>
      </x:c>
      <x:c r="I151" s="48" t="n">
        <x:v>2</x:v>
      </x:c>
      <x:c r="J151" s="48" t="str">
        <x:v>deep_processing</x:v>
      </x:c>
      <x:c r="K151" s="48" t="str">
        <x:v>深加工</x:v>
      </x:c>
      <x:c r="L151" s="54" t="n">
        <x:v>3768000</x:v>
      </x:c>
      <x:c r="M151" s="54" t="n">
        <x:v>3644408.37088685</x:v>
      </x:c>
      <x:c r="N151" s="55" t="n">
        <x:v>0.26</x:v>
      </x:c>
      <x:c r="O151" s="54" t="n">
        <x:v>947546.176430581</x:v>
      </x:c>
      <x:c r="P151" s="54" t="n">
        <x:v>1137055.4117166973</x:v>
      </x:c>
      <x:c r="Q151" s="55" t="n">
        <x:v>0.13133537206931703</x:v>
      </x:c>
      <x:c r="R151" s="55" t="n">
        <x:v>0.45332317764958413</x:v>
      </x:c>
      <x:c r="S151" s="55" t="n">
        <x:v>1.2459214794016555</x:v>
      </x:c>
      <x:c r="T151" s="55" t="n">
        <x:v>0.802618797839686</x:v>
      </x:c>
      <x:c r="U151" s="55" t="n">
        <x:v>0.3330900973978719</x:v>
      </x:c>
      <x:c r="V151" s="55" t="n">
        <x:v>0.8834184659107449</x:v>
      </x:c>
      <x:c r="W151" s="55" t="n">
        <x:v>0.9614439749497273</x:v>
      </x:c>
      <x:c r="X151" s="55" t="n">
        <x:v>0.8615668075150817</x:v>
      </x:c>
      <x:c r="Y151" s="54" t="n">
        <x:v>1425838.2901814221</x:v>
      </x:c>
      <x:c r="Z151" s="54" t="n">
        <x:v>3659143.9370381194</x:v>
      </x:c>
      <x:c r="AA151" s="54" t="n">
        <x:v>2127031.81174881</x:v>
      </x:c>
      <x:c r="AB151" s="55" t="n">
        <x:v>1.02</x:v>
      </x:c>
      <x:c r="AC151" s="55" t="n">
        <x:v>1.16</x:v>
      </x:c>
      <x:c r="AD151" s="55" t="n">
        <x:v>0.41</x:v>
      </x:c>
      <x:c r="AE151" s="55" t="n">
        <x:v>0.81</x:v>
      </x:c>
      <x:c r="AF151" s="55" t="n">
        <x:v>0.11</x:v>
      </x:c>
      <x:c r="AG151" s="53" t="str">
        <x:v>NBS China Statistical Yearbook 2025, Table 12-15</x:v>
      </x:c>
      <x:c r="AH151" s="53" t="str">
        <x:v>calibrated reconstruction; not historical author input</x:v>
      </x:c>
    </x:row>
    <x:row r="152" ht="32" hidden="0" customHeight="1">
      <x:c r="A152" s="48" t="str">
        <x:v>x_r19_s4_m1</x:v>
      </x:c>
      <x:c r="B152" s="48" t="str">
        <x:v>r19</x:v>
      </x:c>
      <x:c r="C152" s="48" t="str">
        <x:v>CN-GD</x:v>
      </x:c>
      <x:c r="D152" s="48" t="str">
        <x:v>Guangdong</x:v>
      </x:c>
      <x:c r="E152" s="48" t="str">
        <x:v>广东</x:v>
      </x:c>
      <x:c r="F152" s="48" t="n">
        <x:v>4</x:v>
      </x:c>
      <x:c r="G152" s="48" t="str">
        <x:v>freshwater_aquaculture</x:v>
      </x:c>
      <x:c r="H152" s="48" t="str">
        <x:v>淡水养殖</x:v>
      </x:c>
      <x:c r="I152" s="48" t="n">
        <x:v>1</x:v>
      </x:c>
      <x:c r="J152" s="48" t="str">
        <x:v>fresh_sales</x:v>
      </x:c>
      <x:c r="K152" s="48" t="str">
        <x:v>鲜销</x:v>
      </x:c>
      <x:c r="L152" s="54" t="n">
        <x:v>4508000</x:v>
      </x:c>
      <x:c r="M152" s="54" t="n">
        <x:v>4360136.129500509</x:v>
      </x:c>
      <x:c r="N152" s="55" t="n">
        <x:v>0.78</x:v>
      </x:c>
      <x:c r="O152" s="54" t="n">
        <x:v>3400906.181010397</x:v>
      </x:c>
      <x:c r="P152" s="54" t="n">
        <x:v>4081087.4172124765</x:v>
      </x:c>
      <x:c r="Q152" s="55" t="n">
        <x:v>0.13133537206931703</x:v>
      </x:c>
      <x:c r="R152" s="55" t="n">
        <x:v>0.45332317764958413</x:v>
      </x:c>
      <x:c r="S152" s="55" t="n">
        <x:v>1.2459214794016555</x:v>
      </x:c>
      <x:c r="T152" s="55" t="n">
        <x:v>0.802618797839686</x:v>
      </x:c>
      <x:c r="U152" s="55" t="n">
        <x:v>0.3330900973978719</x:v>
      </x:c>
      <x:c r="V152" s="55" t="n">
        <x:v>0.8834184659107449</x:v>
      </x:c>
      <x:c r="W152" s="55" t="n">
        <x:v>0.9614439749497273</x:v>
      </x:c>
      <x:c r="X152" s="55" t="n">
        <x:v>0.8615668075150817</x:v>
      </x:c>
      <x:c r="Y152" s="54" t="n">
        <x:v>1425838.2901814221</x:v>
      </x:c>
      <x:c r="Z152" s="54" t="n">
        <x:v>3659143.9370381194</x:v>
      </x:c>
      <x:c r="AA152" s="54" t="n">
        <x:v>2127031.81174881</x:v>
      </x:c>
      <x:c r="AB152" s="55" t="n">
        <x:v>0.88</x:v>
      </x:c>
      <x:c r="AC152" s="55" t="n">
        <x:v>0.84</x:v>
      </x:c>
      <x:c r="AD152" s="55" t="n">
        <x:v>0.31</x:v>
      </x:c>
      <x:c r="AE152" s="55" t="n">
        <x:v>0.88</x:v>
      </x:c>
      <x:c r="AF152" s="55" t="n">
        <x:v>0.08</x:v>
      </x:c>
      <x:c r="AG152" s="53" t="str">
        <x:v>NBS China Statistical Yearbook 2025, Table 12-15</x:v>
      </x:c>
      <x:c r="AH152" s="53" t="str">
        <x:v>calibrated reconstruction; not historical author input</x:v>
      </x:c>
    </x:row>
    <x:row r="153" ht="32" hidden="0" customHeight="1">
      <x:c r="A153" s="48" t="str">
        <x:v>x_r19_s4_m2</x:v>
      </x:c>
      <x:c r="B153" s="48" t="str">
        <x:v>r19</x:v>
      </x:c>
      <x:c r="C153" s="48" t="str">
        <x:v>CN-GD</x:v>
      </x:c>
      <x:c r="D153" s="48" t="str">
        <x:v>Guangdong</x:v>
      </x:c>
      <x:c r="E153" s="48" t="str">
        <x:v>广东</x:v>
      </x:c>
      <x:c r="F153" s="48" t="n">
        <x:v>4</x:v>
      </x:c>
      <x:c r="G153" s="48" t="str">
        <x:v>freshwater_aquaculture</x:v>
      </x:c>
      <x:c r="H153" s="48" t="str">
        <x:v>淡水养殖</x:v>
      </x:c>
      <x:c r="I153" s="48" t="n">
        <x:v>2</x:v>
      </x:c>
      <x:c r="J153" s="48" t="str">
        <x:v>deep_processing</x:v>
      </x:c>
      <x:c r="K153" s="48" t="str">
        <x:v>深加工</x:v>
      </x:c>
      <x:c r="L153" s="54" t="n">
        <x:v>4508000</x:v>
      </x:c>
      <x:c r="M153" s="54" t="n">
        <x:v>4360136.129500509</x:v>
      </x:c>
      <x:c r="N153" s="55" t="n">
        <x:v>0.22</x:v>
      </x:c>
      <x:c r="O153" s="54" t="n">
        <x:v>959229.9484901121</x:v>
      </x:c>
      <x:c r="P153" s="54" t="n">
        <x:v>1151075.9381881345</x:v>
      </x:c>
      <x:c r="Q153" s="55" t="n">
        <x:v>0.13133537206931703</x:v>
      </x:c>
      <x:c r="R153" s="55" t="n">
        <x:v>0.45332317764958413</x:v>
      </x:c>
      <x:c r="S153" s="55" t="n">
        <x:v>1.2459214794016555</x:v>
      </x:c>
      <x:c r="T153" s="55" t="n">
        <x:v>0.802618797839686</x:v>
      </x:c>
      <x:c r="U153" s="55" t="n">
        <x:v>0.3330900973978719</x:v>
      </x:c>
      <x:c r="V153" s="55" t="n">
        <x:v>0.8834184659107449</x:v>
      </x:c>
      <x:c r="W153" s="55" t="n">
        <x:v>0.9614439749497273</x:v>
      </x:c>
      <x:c r="X153" s="55" t="n">
        <x:v>0.8615668075150817</x:v>
      </x:c>
      <x:c r="Y153" s="54" t="n">
        <x:v>1425838.2901814221</x:v>
      </x:c>
      <x:c r="Z153" s="54" t="n">
        <x:v>3659143.9370381194</x:v>
      </x:c>
      <x:c r="AA153" s="54" t="n">
        <x:v>2127031.81174881</x:v>
      </x:c>
      <x:c r="AB153" s="55" t="n">
        <x:v>1.06</x:v>
      </x:c>
      <x:c r="AC153" s="55" t="n">
        <x:v>1.2</x:v>
      </x:c>
      <x:c r="AD153" s="55" t="n">
        <x:v>0.39</x:v>
      </x:c>
      <x:c r="AE153" s="55" t="n">
        <x:v>0.91</x:v>
      </x:c>
      <x:c r="AF153" s="55" t="n">
        <x:v>0.08</x:v>
      </x:c>
      <x:c r="AG153" s="53" t="str">
        <x:v>NBS China Statistical Yearbook 2025, Table 12-15</x:v>
      </x:c>
      <x:c r="AH153" s="53" t="str">
        <x:v>calibrated reconstruction; not historical author input</x:v>
      </x:c>
    </x:row>
    <x:row r="154" ht="32" hidden="0" customHeight="1">
      <x:c r="A154" s="48" t="str">
        <x:v>x_r20_s1_m1</x:v>
      </x:c>
      <x:c r="B154" s="48" t="str">
        <x:v>r20</x:v>
      </x:c>
      <x:c r="C154" s="48" t="str">
        <x:v>CN-GX</x:v>
      </x:c>
      <x:c r="D154" s="48" t="str">
        <x:v>Guangxi</x:v>
      </x:c>
      <x:c r="E154" s="48" t="str">
        <x:v>广西</x:v>
      </x:c>
      <x:c r="F154" s="48" t="n">
        <x:v>1</x:v>
      </x:c>
      <x:c r="G154" s="48" t="str">
        <x:v>marine_capture</x:v>
      </x:c>
      <x:c r="H154" s="48" t="str">
        <x:v>海洋捕捞</x:v>
      </x:c>
      <x:c r="I154" s="48" t="n">
        <x:v>1</x:v>
      </x:c>
      <x:c r="J154" s="48" t="str">
        <x:v>fresh_sales</x:v>
      </x:c>
      <x:c r="K154" s="48" t="str">
        <x:v>鲜销</x:v>
      </x:c>
      <x:c r="L154" s="54" t="n">
        <x:v>492000</x:v>
      </x:c>
      <x:c r="M154" s="54" t="n">
        <x:v>475862.23951070337</x:v>
      </x:c>
      <x:c r="N154" s="55" t="n">
        <x:v>0.62</x:v>
      </x:c>
      <x:c r="O154" s="54" t="n">
        <x:v>295034.5884966361</x:v>
      </x:c>
      <x:c r="P154" s="54" t="n">
        <x:v>354041.5061959633</x:v>
      </x:c>
      <x:c r="Q154" s="55" t="n">
        <x:v>0.0528304451240231</x:v>
      </x:c>
      <x:c r="R154" s="55" t="n">
        <x:v>0.37821402386675584</x:v>
      </x:c>
      <x:c r="S154" s="55" t="n">
        <x:v>0.7533765793677688</x:v>
      </x:c>
      <x:c r="T154" s="55" t="n">
        <x:v>1.3273574297188755</x:v>
      </x:c>
      <x:c r="U154" s="55" t="n">
        <x:v>0.4832400409131784</x:v>
      </x:c>
      <x:c r="V154" s="55" t="n">
        <x:v>0.8308659856803876</x:v>
      </x:c>
      <x:c r="W154" s="55" t="n">
        <x:v>0.8602273044129157</x:v>
      </x:c>
      <x:c r="X154" s="55" t="n">
        <x:v>0.8919318086761252</x:v>
      </x:c>
      <x:c r="Y154" s="54" t="n">
        <x:v>570879.0398795869</x:v>
      </x:c>
      <x:c r="Z154" s="54" t="n">
        <x:v>1388197.2962235094</x:v>
      </x:c>
      <x:c r="AA154" s="54" t="n">
        <x:v>867065.583876537</x:v>
      </x:c>
      <x:c r="AB154" s="55" t="n">
        <x:v>0.65</x:v>
      </x:c>
      <x:c r="AC154" s="55" t="n">
        <x:v>0.62</x:v>
      </x:c>
      <x:c r="AD154" s="55" t="n">
        <x:v>0.29</x:v>
      </x:c>
      <x:c r="AE154" s="55" t="n">
        <x:v>0.28</x:v>
      </x:c>
      <x:c r="AF154" s="55" t="n">
        <x:v>1</x:v>
      </x:c>
      <x:c r="AG154" s="53" t="str">
        <x:v>NBS China Statistical Yearbook 2025, Table 12-15</x:v>
      </x:c>
      <x:c r="AH154" s="53" t="str">
        <x:v>calibrated reconstruction; not historical author input</x:v>
      </x:c>
    </x:row>
    <x:row r="155" ht="32" hidden="0" customHeight="1">
      <x:c r="A155" s="48" t="str">
        <x:v>x_r20_s1_m2</x:v>
      </x:c>
      <x:c r="B155" s="48" t="str">
        <x:v>r20</x:v>
      </x:c>
      <x:c r="C155" s="48" t="str">
        <x:v>CN-GX</x:v>
      </x:c>
      <x:c r="D155" s="48" t="str">
        <x:v>Guangxi</x:v>
      </x:c>
      <x:c r="E155" s="48" t="str">
        <x:v>广西</x:v>
      </x:c>
      <x:c r="F155" s="48" t="n">
        <x:v>1</x:v>
      </x:c>
      <x:c r="G155" s="48" t="str">
        <x:v>marine_capture</x:v>
      </x:c>
      <x:c r="H155" s="48" t="str">
        <x:v>海洋捕捞</x:v>
      </x:c>
      <x:c r="I155" s="48" t="n">
        <x:v>2</x:v>
      </x:c>
      <x:c r="J155" s="48" t="str">
        <x:v>deep_processing</x:v>
      </x:c>
      <x:c r="K155" s="48" t="str">
        <x:v>深加工</x:v>
      </x:c>
      <x:c r="L155" s="54" t="n">
        <x:v>492000</x:v>
      </x:c>
      <x:c r="M155" s="54" t="n">
        <x:v>475862.23951070337</x:v>
      </x:c>
      <x:c r="N155" s="55" t="n">
        <x:v>0.38</x:v>
      </x:c>
      <x:c r="O155" s="54" t="n">
        <x:v>180827.6510140673</x:v>
      </x:c>
      <x:c r="P155" s="54" t="n">
        <x:v>216993.18121688074</x:v>
      </x:c>
      <x:c r="Q155" s="55" t="n">
        <x:v>0.0528304451240231</x:v>
      </x:c>
      <x:c r="R155" s="55" t="n">
        <x:v>0.37821402386675584</x:v>
      </x:c>
      <x:c r="S155" s="55" t="n">
        <x:v>0.7533765793677688</x:v>
      </x:c>
      <x:c r="T155" s="55" t="n">
        <x:v>1.3273574297188755</x:v>
      </x:c>
      <x:c r="U155" s="55" t="n">
        <x:v>0.4832400409131784</x:v>
      </x:c>
      <x:c r="V155" s="55" t="n">
        <x:v>0.8308659856803876</x:v>
      </x:c>
      <x:c r="W155" s="55" t="n">
        <x:v>0.8602273044129157</x:v>
      </x:c>
      <x:c r="X155" s="55" t="n">
        <x:v>0.8919318086761252</x:v>
      </x:c>
      <x:c r="Y155" s="54" t="n">
        <x:v>570879.0398795869</x:v>
      </x:c>
      <x:c r="Z155" s="54" t="n">
        <x:v>1388197.2962235094</x:v>
      </x:c>
      <x:c r="AA155" s="54" t="n">
        <x:v>867065.583876537</x:v>
      </x:c>
      <x:c r="AB155" s="55" t="n">
        <x:v>0.82</x:v>
      </x:c>
      <x:c r="AC155" s="55" t="n">
        <x:v>0.95</x:v>
      </x:c>
      <x:c r="AD155" s="55" t="n">
        <x:v>0.36</x:v>
      </x:c>
      <x:c r="AE155" s="55" t="n">
        <x:v>0.31</x:v>
      </x:c>
      <x:c r="AF155" s="55" t="n">
        <x:v>1</x:v>
      </x:c>
      <x:c r="AG155" s="53" t="str">
        <x:v>NBS China Statistical Yearbook 2025, Table 12-15</x:v>
      </x:c>
      <x:c r="AH155" s="53" t="str">
        <x:v>calibrated reconstruction; not historical author input</x:v>
      </x:c>
    </x:row>
    <x:row r="156" ht="32" hidden="0" customHeight="1">
      <x:c r="A156" s="48" t="str">
        <x:v>x_r20_s2_m1</x:v>
      </x:c>
      <x:c r="B156" s="48" t="str">
        <x:v>r20</x:v>
      </x:c>
      <x:c r="C156" s="48" t="str">
        <x:v>CN-GX</x:v>
      </x:c>
      <x:c r="D156" s="48" t="str">
        <x:v>Guangxi</x:v>
      </x:c>
      <x:c r="E156" s="48" t="str">
        <x:v>广西</x:v>
      </x:c>
      <x:c r="F156" s="48" t="n">
        <x:v>2</x:v>
      </x:c>
      <x:c r="G156" s="48" t="str">
        <x:v>freshwater_capture</x:v>
      </x:c>
      <x:c r="H156" s="48" t="str">
        <x:v>淡水捕捞</x:v>
      </x:c>
      <x:c r="I156" s="48" t="n">
        <x:v>1</x:v>
      </x:c>
      <x:c r="J156" s="48" t="str">
        <x:v>fresh_sales</x:v>
      </x:c>
      <x:c r="K156" s="48" t="str">
        <x:v>鲜销</x:v>
      </x:c>
      <x:c r="L156" s="54" t="n">
        <x:v>76000</x:v>
      </x:c>
      <x:c r="M156" s="54" t="n">
        <x:v>73507.17520897044</x:v>
      </x:c>
      <x:c r="N156" s="55" t="n">
        <x:v>0.67</x:v>
      </x:c>
      <x:c r="O156" s="54" t="n">
        <x:v>49249.807390010195</x:v>
      </x:c>
      <x:c r="P156" s="54" t="n">
        <x:v>59099.76886801223</x:v>
      </x:c>
      <x:c r="Q156" s="55" t="n">
        <x:v>0.0528304451240231</x:v>
      </x:c>
      <x:c r="R156" s="55" t="n">
        <x:v>0.37821402386675584</x:v>
      </x:c>
      <x:c r="S156" s="55" t="n">
        <x:v>0.7533765793677688</x:v>
      </x:c>
      <x:c r="T156" s="55" t="n">
        <x:v>1.3273574297188755</x:v>
      </x:c>
      <x:c r="U156" s="55" t="n">
        <x:v>0.4832400409131784</x:v>
      </x:c>
      <x:c r="V156" s="55" t="n">
        <x:v>0.8308659856803876</x:v>
      </x:c>
      <x:c r="W156" s="55" t="n">
        <x:v>0.8602273044129157</x:v>
      </x:c>
      <x:c r="X156" s="55" t="n">
        <x:v>0.8919318086761252</x:v>
      </x:c>
      <x:c r="Y156" s="54" t="n">
        <x:v>570879.0398795869</x:v>
      </x:c>
      <x:c r="Z156" s="54" t="n">
        <x:v>1388197.2962235094</x:v>
      </x:c>
      <x:c r="AA156" s="54" t="n">
        <x:v>867065.583876537</x:v>
      </x:c>
      <x:c r="AB156" s="55" t="n">
        <x:v>0.7</x:v>
      </x:c>
      <x:c r="AC156" s="55" t="n">
        <x:v>0.67</x:v>
      </x:c>
      <x:c r="AD156" s="55" t="n">
        <x:v>0.26</x:v>
      </x:c>
      <x:c r="AE156" s="55" t="n">
        <x:v>0.42</x:v>
      </x:c>
      <x:c r="AF156" s="55" t="n">
        <x:v>0.7</x:v>
      </x:c>
      <x:c r="AG156" s="53" t="str">
        <x:v>NBS China Statistical Yearbook 2025, Table 12-15</x:v>
      </x:c>
      <x:c r="AH156" s="53" t="str">
        <x:v>calibrated reconstruction; not historical author input</x:v>
      </x:c>
    </x:row>
    <x:row r="157" ht="32" hidden="0" customHeight="1">
      <x:c r="A157" s="48" t="str">
        <x:v>x_r20_s2_m2</x:v>
      </x:c>
      <x:c r="B157" s="48" t="str">
        <x:v>r20</x:v>
      </x:c>
      <x:c r="C157" s="48" t="str">
        <x:v>CN-GX</x:v>
      </x:c>
      <x:c r="D157" s="48" t="str">
        <x:v>Guangxi</x:v>
      </x:c>
      <x:c r="E157" s="48" t="str">
        <x:v>广西</x:v>
      </x:c>
      <x:c r="F157" s="48" t="n">
        <x:v>2</x:v>
      </x:c>
      <x:c r="G157" s="48" t="str">
        <x:v>freshwater_capture</x:v>
      </x:c>
      <x:c r="H157" s="48" t="str">
        <x:v>淡水捕捞</x:v>
      </x:c>
      <x:c r="I157" s="48" t="n">
        <x:v>2</x:v>
      </x:c>
      <x:c r="J157" s="48" t="str">
        <x:v>deep_processing</x:v>
      </x:c>
      <x:c r="K157" s="48" t="str">
        <x:v>深加工</x:v>
      </x:c>
      <x:c r="L157" s="54" t="n">
        <x:v>76000</x:v>
      </x:c>
      <x:c r="M157" s="54" t="n">
        <x:v>73507.17520897044</x:v>
      </x:c>
      <x:c r="N157" s="55" t="n">
        <x:v>0.33</x:v>
      </x:c>
      <x:c r="O157" s="54" t="n">
        <x:v>24257.367818960247</x:v>
      </x:c>
      <x:c r="P157" s="54" t="n">
        <x:v>29108.841382752296</x:v>
      </x:c>
      <x:c r="Q157" s="55" t="n">
        <x:v>0.0528304451240231</x:v>
      </x:c>
      <x:c r="R157" s="55" t="n">
        <x:v>0.37821402386675584</x:v>
      </x:c>
      <x:c r="S157" s="55" t="n">
        <x:v>0.7533765793677688</x:v>
      </x:c>
      <x:c r="T157" s="55" t="n">
        <x:v>1.3273574297188755</x:v>
      </x:c>
      <x:c r="U157" s="55" t="n">
        <x:v>0.4832400409131784</x:v>
      </x:c>
      <x:c r="V157" s="55" t="n">
        <x:v>0.8308659856803876</x:v>
      </x:c>
      <x:c r="W157" s="55" t="n">
        <x:v>0.8602273044129157</x:v>
      </x:c>
      <x:c r="X157" s="55" t="n">
        <x:v>0.8919318086761252</x:v>
      </x:c>
      <x:c r="Y157" s="54" t="n">
        <x:v>570879.0398795869</x:v>
      </x:c>
      <x:c r="Z157" s="54" t="n">
        <x:v>1388197.2962235094</x:v>
      </x:c>
      <x:c r="AA157" s="54" t="n">
        <x:v>867065.583876537</x:v>
      </x:c>
      <x:c r="AB157" s="55" t="n">
        <x:v>0.86</x:v>
      </x:c>
      <x:c r="AC157" s="55" t="n">
        <x:v>0.99</x:v>
      </x:c>
      <x:c r="AD157" s="55" t="n">
        <x:v>0.34</x:v>
      </x:c>
      <x:c r="AE157" s="55" t="n">
        <x:v>0.45</x:v>
      </x:c>
      <x:c r="AF157" s="55" t="n">
        <x:v>0.7</x:v>
      </x:c>
      <x:c r="AG157" s="53" t="str">
        <x:v>NBS China Statistical Yearbook 2025, Table 12-15</x:v>
      </x:c>
      <x:c r="AH157" s="53" t="str">
        <x:v>calibrated reconstruction; not historical author input</x:v>
      </x:c>
    </x:row>
    <x:row r="158" ht="32" hidden="0" customHeight="1">
      <x:c r="A158" s="48" t="str">
        <x:v>x_r20_s3_m1</x:v>
      </x:c>
      <x:c r="B158" s="48" t="str">
        <x:v>r20</x:v>
      </x:c>
      <x:c r="C158" s="48" t="str">
        <x:v>CN-GX</x:v>
      </x:c>
      <x:c r="D158" s="48" t="str">
        <x:v>Guangxi</x:v>
      </x:c>
      <x:c r="E158" s="48" t="str">
        <x:v>广西</x:v>
      </x:c>
      <x:c r="F158" s="48" t="n">
        <x:v>3</x:v>
      </x:c>
      <x:c r="G158" s="48" t="str">
        <x:v>marine_aquaculture</x:v>
      </x:c>
      <x:c r="H158" s="48" t="str">
        <x:v>海水养殖</x:v>
      </x:c>
      <x:c r="I158" s="48" t="n">
        <x:v>1</x:v>
      </x:c>
      <x:c r="J158" s="48" t="str">
        <x:v>fresh_sales</x:v>
      </x:c>
      <x:c r="K158" s="48" t="str">
        <x:v>鲜销</x:v>
      </x:c>
      <x:c r="L158" s="54" t="n">
        <x:v>1793000</x:v>
      </x:c>
      <x:c r="M158" s="54" t="n">
        <x:v>1734189.015127421</x:v>
      </x:c>
      <x:c r="N158" s="55" t="n">
        <x:v>0.74</x:v>
      </x:c>
      <x:c r="O158" s="54" t="n">
        <x:v>1283299.8711942914</x:v>
      </x:c>
      <x:c r="P158" s="54" t="n">
        <x:v>1539959.8454331497</x:v>
      </x:c>
      <x:c r="Q158" s="55" t="n">
        <x:v>0.0528304451240231</x:v>
      </x:c>
      <x:c r="R158" s="55" t="n">
        <x:v>0.37821402386675584</x:v>
      </x:c>
      <x:c r="S158" s="55" t="n">
        <x:v>0.7533765793677688</x:v>
      </x:c>
      <x:c r="T158" s="55" t="n">
        <x:v>1.3273574297188755</x:v>
      </x:c>
      <x:c r="U158" s="55" t="n">
        <x:v>0.4832400409131784</x:v>
      </x:c>
      <x:c r="V158" s="55" t="n">
        <x:v>0.8308659856803876</x:v>
      </x:c>
      <x:c r="W158" s="55" t="n">
        <x:v>0.8602273044129157</x:v>
      </x:c>
      <x:c r="X158" s="55" t="n">
        <x:v>0.8919318086761252</x:v>
      </x:c>
      <x:c r="Y158" s="54" t="n">
        <x:v>570879.0398795869</x:v>
      </x:c>
      <x:c r="Z158" s="54" t="n">
        <x:v>1388197.2962235094</x:v>
      </x:c>
      <x:c r="AA158" s="54" t="n">
        <x:v>867065.583876537</x:v>
      </x:c>
      <x:c r="AB158" s="55" t="n">
        <x:v>0.84</x:v>
      </x:c>
      <x:c r="AC158" s="55" t="n">
        <x:v>0.8</x:v>
      </x:c>
      <x:c r="AD158" s="55" t="n">
        <x:v>0.33</x:v>
      </x:c>
      <x:c r="AE158" s="55" t="n">
        <x:v>0.78</x:v>
      </x:c>
      <x:c r="AF158" s="55" t="n">
        <x:v>0.11</x:v>
      </x:c>
      <x:c r="AG158" s="53" t="str">
        <x:v>NBS China Statistical Yearbook 2025, Table 12-15</x:v>
      </x:c>
      <x:c r="AH158" s="53" t="str">
        <x:v>calibrated reconstruction; not historical author input</x:v>
      </x:c>
    </x:row>
    <x:row r="159" ht="32" hidden="0" customHeight="1">
      <x:c r="A159" s="48" t="str">
        <x:v>x_r20_s3_m2</x:v>
      </x:c>
      <x:c r="B159" s="48" t="str">
        <x:v>r20</x:v>
      </x:c>
      <x:c r="C159" s="48" t="str">
        <x:v>CN-GX</x:v>
      </x:c>
      <x:c r="D159" s="48" t="str">
        <x:v>Guangxi</x:v>
      </x:c>
      <x:c r="E159" s="48" t="str">
        <x:v>广西</x:v>
      </x:c>
      <x:c r="F159" s="48" t="n">
        <x:v>3</x:v>
      </x:c>
      <x:c r="G159" s="48" t="str">
        <x:v>marine_aquaculture</x:v>
      </x:c>
      <x:c r="H159" s="48" t="str">
        <x:v>海水养殖</x:v>
      </x:c>
      <x:c r="I159" s="48" t="n">
        <x:v>2</x:v>
      </x:c>
      <x:c r="J159" s="48" t="str">
        <x:v>deep_processing</x:v>
      </x:c>
      <x:c r="K159" s="48" t="str">
        <x:v>深加工</x:v>
      </x:c>
      <x:c r="L159" s="54" t="n">
        <x:v>1793000</x:v>
      </x:c>
      <x:c r="M159" s="54" t="n">
        <x:v>1734189.015127421</x:v>
      </x:c>
      <x:c r="N159" s="55" t="n">
        <x:v>0.26</x:v>
      </x:c>
      <x:c r="O159" s="54" t="n">
        <x:v>450889.14393312944</x:v>
      </x:c>
      <x:c r="P159" s="54" t="n">
        <x:v>541066.9727197553</x:v>
      </x:c>
      <x:c r="Q159" s="55" t="n">
        <x:v>0.0528304451240231</x:v>
      </x:c>
      <x:c r="R159" s="55" t="n">
        <x:v>0.37821402386675584</x:v>
      </x:c>
      <x:c r="S159" s="55" t="n">
        <x:v>0.7533765793677688</x:v>
      </x:c>
      <x:c r="T159" s="55" t="n">
        <x:v>1.3273574297188755</x:v>
      </x:c>
      <x:c r="U159" s="55" t="n">
        <x:v>0.4832400409131784</x:v>
      </x:c>
      <x:c r="V159" s="55" t="n">
        <x:v>0.8308659856803876</x:v>
      </x:c>
      <x:c r="W159" s="55" t="n">
        <x:v>0.8602273044129157</x:v>
      </x:c>
      <x:c r="X159" s="55" t="n">
        <x:v>0.8919318086761252</x:v>
      </x:c>
      <x:c r="Y159" s="54" t="n">
        <x:v>570879.0398795869</x:v>
      </x:c>
      <x:c r="Z159" s="54" t="n">
        <x:v>1388197.2962235094</x:v>
      </x:c>
      <x:c r="AA159" s="54" t="n">
        <x:v>867065.583876537</x:v>
      </x:c>
      <x:c r="AB159" s="55" t="n">
        <x:v>1.02</x:v>
      </x:c>
      <x:c r="AC159" s="55" t="n">
        <x:v>1.16</x:v>
      </x:c>
      <x:c r="AD159" s="55" t="n">
        <x:v>0.41</x:v>
      </x:c>
      <x:c r="AE159" s="55" t="n">
        <x:v>0.81</x:v>
      </x:c>
      <x:c r="AF159" s="55" t="n">
        <x:v>0.11</x:v>
      </x:c>
      <x:c r="AG159" s="53" t="str">
        <x:v>NBS China Statistical Yearbook 2025, Table 12-15</x:v>
      </x:c>
      <x:c r="AH159" s="53" t="str">
        <x:v>calibrated reconstruction; not historical author input</x:v>
      </x:c>
    </x:row>
    <x:row r="160" ht="32" hidden="0" customHeight="1">
      <x:c r="A160" s="48" t="str">
        <x:v>x_r20_s4_m1</x:v>
      </x:c>
      <x:c r="B160" s="48" t="str">
        <x:v>r20</x:v>
      </x:c>
      <x:c r="C160" s="48" t="str">
        <x:v>CN-GX</x:v>
      </x:c>
      <x:c r="D160" s="48" t="str">
        <x:v>Guangxi</x:v>
      </x:c>
      <x:c r="E160" s="48" t="str">
        <x:v>广西</x:v>
      </x:c>
      <x:c r="F160" s="48" t="n">
        <x:v>4</x:v>
      </x:c>
      <x:c r="G160" s="48" t="str">
        <x:v>freshwater_aquaculture</x:v>
      </x:c>
      <x:c r="H160" s="48" t="str">
        <x:v>淡水养殖</x:v>
      </x:c>
      <x:c r="I160" s="48" t="n">
        <x:v>1</x:v>
      </x:c>
      <x:c r="J160" s="48" t="str">
        <x:v>fresh_sales</x:v>
      </x:c>
      <x:c r="K160" s="48" t="str">
        <x:v>鲜销</x:v>
      </x:c>
      <x:c r="L160" s="54" t="n">
        <x:v>1526000</x:v>
      </x:c>
      <x:c r="M160" s="54" t="n">
        <x:v>1475946.7022222222</x:v>
      </x:c>
      <x:c r="N160" s="55" t="n">
        <x:v>0.78</x:v>
      </x:c>
      <x:c r="O160" s="54" t="n">
        <x:v>1151238.4277333333</x:v>
      </x:c>
      <x:c r="P160" s="54" t="n">
        <x:v>1381486.11328</x:v>
      </x:c>
      <x:c r="Q160" s="55" t="n">
        <x:v>0.0528304451240231</x:v>
      </x:c>
      <x:c r="R160" s="55" t="n">
        <x:v>0.37821402386675584</x:v>
      </x:c>
      <x:c r="S160" s="55" t="n">
        <x:v>0.7533765793677688</x:v>
      </x:c>
      <x:c r="T160" s="55" t="n">
        <x:v>1.3273574297188755</x:v>
      </x:c>
      <x:c r="U160" s="55" t="n">
        <x:v>0.4832400409131784</x:v>
      </x:c>
      <x:c r="V160" s="55" t="n">
        <x:v>0.8308659856803876</x:v>
      </x:c>
      <x:c r="W160" s="55" t="n">
        <x:v>0.8602273044129157</x:v>
      </x:c>
      <x:c r="X160" s="55" t="n">
        <x:v>0.8919318086761252</x:v>
      </x:c>
      <x:c r="Y160" s="54" t="n">
        <x:v>570879.0398795869</x:v>
      </x:c>
      <x:c r="Z160" s="54" t="n">
        <x:v>1388197.2962235094</x:v>
      </x:c>
      <x:c r="AA160" s="54" t="n">
        <x:v>867065.583876537</x:v>
      </x:c>
      <x:c r="AB160" s="55" t="n">
        <x:v>0.88</x:v>
      </x:c>
      <x:c r="AC160" s="55" t="n">
        <x:v>0.84</x:v>
      </x:c>
      <x:c r="AD160" s="55" t="n">
        <x:v>0.31</x:v>
      </x:c>
      <x:c r="AE160" s="55" t="n">
        <x:v>0.88</x:v>
      </x:c>
      <x:c r="AF160" s="55" t="n">
        <x:v>0.08</x:v>
      </x:c>
      <x:c r="AG160" s="53" t="str">
        <x:v>NBS China Statistical Yearbook 2025, Table 12-15</x:v>
      </x:c>
      <x:c r="AH160" s="53" t="str">
        <x:v>calibrated reconstruction; not historical author input</x:v>
      </x:c>
    </x:row>
    <x:row r="161" ht="32" hidden="0" customHeight="1">
      <x:c r="A161" s="48" t="str">
        <x:v>x_r20_s4_m2</x:v>
      </x:c>
      <x:c r="B161" s="48" t="str">
        <x:v>r20</x:v>
      </x:c>
      <x:c r="C161" s="48" t="str">
        <x:v>CN-GX</x:v>
      </x:c>
      <x:c r="D161" s="48" t="str">
        <x:v>Guangxi</x:v>
      </x:c>
      <x:c r="E161" s="48" t="str">
        <x:v>广西</x:v>
      </x:c>
      <x:c r="F161" s="48" t="n">
        <x:v>4</x:v>
      </x:c>
      <x:c r="G161" s="48" t="str">
        <x:v>freshwater_aquaculture</x:v>
      </x:c>
      <x:c r="H161" s="48" t="str">
        <x:v>淡水养殖</x:v>
      </x:c>
      <x:c r="I161" s="48" t="n">
        <x:v>2</x:v>
      </x:c>
      <x:c r="J161" s="48" t="str">
        <x:v>deep_processing</x:v>
      </x:c>
      <x:c r="K161" s="48" t="str">
        <x:v>深加工</x:v>
      </x:c>
      <x:c r="L161" s="54" t="n">
        <x:v>1526000</x:v>
      </x:c>
      <x:c r="M161" s="54" t="n">
        <x:v>1475946.7022222222</x:v>
      </x:c>
      <x:c r="N161" s="55" t="n">
        <x:v>0.22</x:v>
      </x:c>
      <x:c r="O161" s="54" t="n">
        <x:v>324708.2744888889</x:v>
      </x:c>
      <x:c r="P161" s="54" t="n">
        <x:v>389649.9293866667</x:v>
      </x:c>
      <x:c r="Q161" s="55" t="n">
        <x:v>0.0528304451240231</x:v>
      </x:c>
      <x:c r="R161" s="55" t="n">
        <x:v>0.37821402386675584</x:v>
      </x:c>
      <x:c r="S161" s="55" t="n">
        <x:v>0.7533765793677688</x:v>
      </x:c>
      <x:c r="T161" s="55" t="n">
        <x:v>1.3273574297188755</x:v>
      </x:c>
      <x:c r="U161" s="55" t="n">
        <x:v>0.4832400409131784</x:v>
      </x:c>
      <x:c r="V161" s="55" t="n">
        <x:v>0.8308659856803876</x:v>
      </x:c>
      <x:c r="W161" s="55" t="n">
        <x:v>0.8602273044129157</x:v>
      </x:c>
      <x:c r="X161" s="55" t="n">
        <x:v>0.8919318086761252</x:v>
      </x:c>
      <x:c r="Y161" s="54" t="n">
        <x:v>570879.0398795869</x:v>
      </x:c>
      <x:c r="Z161" s="54" t="n">
        <x:v>1388197.2962235094</x:v>
      </x:c>
      <x:c r="AA161" s="54" t="n">
        <x:v>867065.583876537</x:v>
      </x:c>
      <x:c r="AB161" s="55" t="n">
        <x:v>1.06</x:v>
      </x:c>
      <x:c r="AC161" s="55" t="n">
        <x:v>1.2</x:v>
      </x:c>
      <x:c r="AD161" s="55" t="n">
        <x:v>0.39</x:v>
      </x:c>
      <x:c r="AE161" s="55" t="n">
        <x:v>0.91</x:v>
      </x:c>
      <x:c r="AF161" s="55" t="n">
        <x:v>0.08</x:v>
      </x:c>
      <x:c r="AG161" s="53" t="str">
        <x:v>NBS China Statistical Yearbook 2025, Table 12-15</x:v>
      </x:c>
      <x:c r="AH161" s="53" t="str">
        <x:v>calibrated reconstruction; not historical author input</x:v>
      </x:c>
    </x:row>
    <x:row r="162" ht="32" hidden="0" customHeight="1">
      <x:c r="A162" s="48" t="str">
        <x:v>x_r21_s1_m1</x:v>
      </x:c>
      <x:c r="B162" s="48" t="str">
        <x:v>r21</x:v>
      </x:c>
      <x:c r="C162" s="48" t="str">
        <x:v>CN-HI</x:v>
      </x:c>
      <x:c r="D162" s="48" t="str">
        <x:v>Hainan</x:v>
      </x:c>
      <x:c r="E162" s="48" t="str">
        <x:v>海南</x:v>
      </x:c>
      <x:c r="F162" s="48" t="n">
        <x:v>1</x:v>
      </x:c>
      <x:c r="G162" s="48" t="str">
        <x:v>marine_capture</x:v>
      </x:c>
      <x:c r="H162" s="48" t="str">
        <x:v>海洋捕捞</x:v>
      </x:c>
      <x:c r="I162" s="48" t="n">
        <x:v>1</x:v>
      </x:c>
      <x:c r="J162" s="48" t="str">
        <x:v>fresh_sales</x:v>
      </x:c>
      <x:c r="K162" s="48" t="str">
        <x:v>鲜销</x:v>
      </x:c>
      <x:c r="L162" s="54" t="n">
        <x:v>1013000</x:v>
      </x:c>
      <x:c r="M162" s="54" t="n">
        <x:v>979773.2695616718</x:v>
      </x:c>
      <x:c r="N162" s="55" t="n">
        <x:v>0.62</x:v>
      </x:c>
      <x:c r="O162" s="54" t="n">
        <x:v>607459.4271282365</x:v>
      </x:c>
      <x:c r="P162" s="54" t="n">
        <x:v>728951.3125538838</x:v>
      </x:c>
      <x:c r="Q162" s="55" t="n">
        <x:v>0.024655113829425757</x:v>
      </x:c>
      <x:c r="R162" s="55" t="n">
        <x:v>0.563891669883755</x:v>
      </x:c>
      <x:c r="S162" s="55" t="n">
        <x:v>0.8430314179212858</x:v>
      </x:c>
      <x:c r="T162" s="55" t="n">
        <x:v>1.1861954118694191</x:v>
      </x:c>
      <x:c r="U162" s="55" t="n">
        <x:v>0.42569323520034785</x:v>
      </x:c>
      <x:c r="V162" s="55" t="n">
        <x:v>0.8510073676798783</x:v>
      </x:c>
      <x:c r="W162" s="55" t="n">
        <x:v>0.45519995500526167</x:v>
      </x:c>
      <x:c r="X162" s="55" t="n">
        <x:v>1.0134400134984214</x:v>
      </x:c>
      <x:c r="Y162" s="54" t="n">
        <x:v>239414.63837035422</x:v>
      </x:c>
      <x:c r="Z162" s="54" t="n">
        <x:v>491512.68898010586</x:v>
      </x:c>
      <x:c r="AA162" s="54" t="n">
        <x:v>1267814.0045217758</x:v>
      </x:c>
      <x:c r="AB162" s="55" t="n">
        <x:v>0.65</x:v>
      </x:c>
      <x:c r="AC162" s="55" t="n">
        <x:v>0.62</x:v>
      </x:c>
      <x:c r="AD162" s="55" t="n">
        <x:v>0.29</x:v>
      </x:c>
      <x:c r="AE162" s="55" t="n">
        <x:v>0.28</x:v>
      </x:c>
      <x:c r="AF162" s="55" t="n">
        <x:v>1</x:v>
      </x:c>
      <x:c r="AG162" s="53" t="str">
        <x:v>NBS China Statistical Yearbook 2025, Table 12-15</x:v>
      </x:c>
      <x:c r="AH162" s="53" t="str">
        <x:v>calibrated reconstruction; not historical author input</x:v>
      </x:c>
    </x:row>
    <x:row r="163" ht="32" hidden="0" customHeight="1">
      <x:c r="A163" s="48" t="str">
        <x:v>x_r21_s1_m2</x:v>
      </x:c>
      <x:c r="B163" s="48" t="str">
        <x:v>r21</x:v>
      </x:c>
      <x:c r="C163" s="48" t="str">
        <x:v>CN-HI</x:v>
      </x:c>
      <x:c r="D163" s="48" t="str">
        <x:v>Hainan</x:v>
      </x:c>
      <x:c r="E163" s="48" t="str">
        <x:v>海南</x:v>
      </x:c>
      <x:c r="F163" s="48" t="n">
        <x:v>1</x:v>
      </x:c>
      <x:c r="G163" s="48" t="str">
        <x:v>marine_capture</x:v>
      </x:c>
      <x:c r="H163" s="48" t="str">
        <x:v>海洋捕捞</x:v>
      </x:c>
      <x:c r="I163" s="48" t="n">
        <x:v>2</x:v>
      </x:c>
      <x:c r="J163" s="48" t="str">
        <x:v>deep_processing</x:v>
      </x:c>
      <x:c r="K163" s="48" t="str">
        <x:v>深加工</x:v>
      </x:c>
      <x:c r="L163" s="54" t="n">
        <x:v>1013000</x:v>
      </x:c>
      <x:c r="M163" s="54" t="n">
        <x:v>979773.2695616718</x:v>
      </x:c>
      <x:c r="N163" s="55" t="n">
        <x:v>0.38</x:v>
      </x:c>
      <x:c r="O163" s="54" t="n">
        <x:v>372313.84243343526</x:v>
      </x:c>
      <x:c r="P163" s="54" t="n">
        <x:v>446776.6109201223</x:v>
      </x:c>
      <x:c r="Q163" s="55" t="n">
        <x:v>0.024655113829425757</x:v>
      </x:c>
      <x:c r="R163" s="55" t="n">
        <x:v>0.563891669883755</x:v>
      </x:c>
      <x:c r="S163" s="55" t="n">
        <x:v>0.8430314179212858</x:v>
      </x:c>
      <x:c r="T163" s="55" t="n">
        <x:v>1.1861954118694191</x:v>
      </x:c>
      <x:c r="U163" s="55" t="n">
        <x:v>0.42569323520034785</x:v>
      </x:c>
      <x:c r="V163" s="55" t="n">
        <x:v>0.8510073676798783</x:v>
      </x:c>
      <x:c r="W163" s="55" t="n">
        <x:v>0.45519995500526167</x:v>
      </x:c>
      <x:c r="X163" s="55" t="n">
        <x:v>1.0134400134984214</x:v>
      </x:c>
      <x:c r="Y163" s="54" t="n">
        <x:v>239414.63837035422</x:v>
      </x:c>
      <x:c r="Z163" s="54" t="n">
        <x:v>491512.68898010586</x:v>
      </x:c>
      <x:c r="AA163" s="54" t="n">
        <x:v>1267814.0045217758</x:v>
      </x:c>
      <x:c r="AB163" s="55" t="n">
        <x:v>0.82</x:v>
      </x:c>
      <x:c r="AC163" s="55" t="n">
        <x:v>0.95</x:v>
      </x:c>
      <x:c r="AD163" s="55" t="n">
        <x:v>0.36</x:v>
      </x:c>
      <x:c r="AE163" s="55" t="n">
        <x:v>0.31</x:v>
      </x:c>
      <x:c r="AF163" s="55" t="n">
        <x:v>1</x:v>
      </x:c>
      <x:c r="AG163" s="53" t="str">
        <x:v>NBS China Statistical Yearbook 2025, Table 12-15</x:v>
      </x:c>
      <x:c r="AH163" s="53" t="str">
        <x:v>calibrated reconstruction; not historical author input</x:v>
      </x:c>
    </x:row>
    <x:row r="164" ht="32" hidden="0" customHeight="1">
      <x:c r="A164" s="48" t="str">
        <x:v>x_r21_s2_m1</x:v>
      </x:c>
      <x:c r="B164" s="48" t="str">
        <x:v>r21</x:v>
      </x:c>
      <x:c r="C164" s="48" t="str">
        <x:v>CN-HI</x:v>
      </x:c>
      <x:c r="D164" s="48" t="str">
        <x:v>Hainan</x:v>
      </x:c>
      <x:c r="E164" s="48" t="str">
        <x:v>海南</x:v>
      </x:c>
      <x:c r="F164" s="48" t="n">
        <x:v>2</x:v>
      </x:c>
      <x:c r="G164" s="48" t="str">
        <x:v>freshwater_capture</x:v>
      </x:c>
      <x:c r="H164" s="48" t="str">
        <x:v>淡水捕捞</x:v>
      </x:c>
      <x:c r="I164" s="48" t="n">
        <x:v>1</x:v>
      </x:c>
      <x:c r="J164" s="48" t="str">
        <x:v>fresh_sales</x:v>
      </x:c>
      <x:c r="K164" s="48" t="str">
        <x:v>鲜销</x:v>
      </x:c>
      <x:c r="L164" s="54" t="n">
        <x:v>11000</x:v>
      </x:c>
      <x:c r="M164" s="54" t="n">
        <x:v>10639.196411824669</x:v>
      </x:c>
      <x:c r="N164" s="55" t="n">
        <x:v>0.67</x:v>
      </x:c>
      <x:c r="O164" s="54" t="n">
        <x:v>7128.261595922529</x:v>
      </x:c>
      <x:c r="P164" s="54" t="n">
        <x:v>8553.913915107034</x:v>
      </x:c>
      <x:c r="Q164" s="55" t="n">
        <x:v>0.024655113829425757</x:v>
      </x:c>
      <x:c r="R164" s="55" t="n">
        <x:v>0.563891669883755</x:v>
      </x:c>
      <x:c r="S164" s="55" t="n">
        <x:v>0.8430314179212858</x:v>
      </x:c>
      <x:c r="T164" s="55" t="n">
        <x:v>1.1861954118694191</x:v>
      </x:c>
      <x:c r="U164" s="55" t="n">
        <x:v>0.42569323520034785</x:v>
      </x:c>
      <x:c r="V164" s="55" t="n">
        <x:v>0.8510073676798783</x:v>
      </x:c>
      <x:c r="W164" s="55" t="n">
        <x:v>0.45519995500526167</x:v>
      </x:c>
      <x:c r="X164" s="55" t="n">
        <x:v>1.0134400134984214</x:v>
      </x:c>
      <x:c r="Y164" s="54" t="n">
        <x:v>239414.63837035422</x:v>
      </x:c>
      <x:c r="Z164" s="54" t="n">
        <x:v>491512.68898010586</x:v>
      </x:c>
      <x:c r="AA164" s="54" t="n">
        <x:v>1267814.0045217758</x:v>
      </x:c>
      <x:c r="AB164" s="55" t="n">
        <x:v>0.7</x:v>
      </x:c>
      <x:c r="AC164" s="55" t="n">
        <x:v>0.67</x:v>
      </x:c>
      <x:c r="AD164" s="55" t="n">
        <x:v>0.26</x:v>
      </x:c>
      <x:c r="AE164" s="55" t="n">
        <x:v>0.42</x:v>
      </x:c>
      <x:c r="AF164" s="55" t="n">
        <x:v>0.7</x:v>
      </x:c>
      <x:c r="AG164" s="53" t="str">
        <x:v>NBS China Statistical Yearbook 2025, Table 12-15</x:v>
      </x:c>
      <x:c r="AH164" s="53" t="str">
        <x:v>calibrated reconstruction; not historical author input</x:v>
      </x:c>
    </x:row>
    <x:row r="165" ht="32" hidden="0" customHeight="1">
      <x:c r="A165" s="48" t="str">
        <x:v>x_r21_s2_m2</x:v>
      </x:c>
      <x:c r="B165" s="48" t="str">
        <x:v>r21</x:v>
      </x:c>
      <x:c r="C165" s="48" t="str">
        <x:v>CN-HI</x:v>
      </x:c>
      <x:c r="D165" s="48" t="str">
        <x:v>Hainan</x:v>
      </x:c>
      <x:c r="E165" s="48" t="str">
        <x:v>海南</x:v>
      </x:c>
      <x:c r="F165" s="48" t="n">
        <x:v>2</x:v>
      </x:c>
      <x:c r="G165" s="48" t="str">
        <x:v>freshwater_capture</x:v>
      </x:c>
      <x:c r="H165" s="48" t="str">
        <x:v>淡水捕捞</x:v>
      </x:c>
      <x:c r="I165" s="48" t="n">
        <x:v>2</x:v>
      </x:c>
      <x:c r="J165" s="48" t="str">
        <x:v>deep_processing</x:v>
      </x:c>
      <x:c r="K165" s="48" t="str">
        <x:v>深加工</x:v>
      </x:c>
      <x:c r="L165" s="54" t="n">
        <x:v>11000</x:v>
      </x:c>
      <x:c r="M165" s="54" t="n">
        <x:v>10639.196411824669</x:v>
      </x:c>
      <x:c r="N165" s="55" t="n">
        <x:v>0.33</x:v>
      </x:c>
      <x:c r="O165" s="54" t="n">
        <x:v>3510.934815902141</x:v>
      </x:c>
      <x:c r="P165" s="54" t="n">
        <x:v>4213.121779082569</x:v>
      </x:c>
      <x:c r="Q165" s="55" t="n">
        <x:v>0.024655113829425757</x:v>
      </x:c>
      <x:c r="R165" s="55" t="n">
        <x:v>0.563891669883755</x:v>
      </x:c>
      <x:c r="S165" s="55" t="n">
        <x:v>0.8430314179212858</x:v>
      </x:c>
      <x:c r="T165" s="55" t="n">
        <x:v>1.1861954118694191</x:v>
      </x:c>
      <x:c r="U165" s="55" t="n">
        <x:v>0.42569323520034785</x:v>
      </x:c>
      <x:c r="V165" s="55" t="n">
        <x:v>0.8510073676798783</x:v>
      </x:c>
      <x:c r="W165" s="55" t="n">
        <x:v>0.45519995500526167</x:v>
      </x:c>
      <x:c r="X165" s="55" t="n">
        <x:v>1.0134400134984214</x:v>
      </x:c>
      <x:c r="Y165" s="54" t="n">
        <x:v>239414.63837035422</x:v>
      </x:c>
      <x:c r="Z165" s="54" t="n">
        <x:v>491512.68898010586</x:v>
      </x:c>
      <x:c r="AA165" s="54" t="n">
        <x:v>1267814.0045217758</x:v>
      </x:c>
      <x:c r="AB165" s="55" t="n">
        <x:v>0.86</x:v>
      </x:c>
      <x:c r="AC165" s="55" t="n">
        <x:v>0.99</x:v>
      </x:c>
      <x:c r="AD165" s="55" t="n">
        <x:v>0.34</x:v>
      </x:c>
      <x:c r="AE165" s="55" t="n">
        <x:v>0.45</x:v>
      </x:c>
      <x:c r="AF165" s="55" t="n">
        <x:v>0.7</x:v>
      </x:c>
      <x:c r="AG165" s="53" t="str">
        <x:v>NBS China Statistical Yearbook 2025, Table 12-15</x:v>
      </x:c>
      <x:c r="AH165" s="53" t="str">
        <x:v>calibrated reconstruction; not historical author input</x:v>
      </x:c>
    </x:row>
    <x:row r="166" ht="32" hidden="0" customHeight="1">
      <x:c r="A166" s="48" t="str">
        <x:v>x_r21_s3_m1</x:v>
      </x:c>
      <x:c r="B166" s="48" t="str">
        <x:v>r21</x:v>
      </x:c>
      <x:c r="C166" s="48" t="str">
        <x:v>CN-HI</x:v>
      </x:c>
      <x:c r="D166" s="48" t="str">
        <x:v>Hainan</x:v>
      </x:c>
      <x:c r="E166" s="48" t="str">
        <x:v>海南</x:v>
      </x:c>
      <x:c r="F166" s="48" t="n">
        <x:v>3</x:v>
      </x:c>
      <x:c r="G166" s="48" t="str">
        <x:v>marine_aquaculture</x:v>
      </x:c>
      <x:c r="H166" s="48" t="str">
        <x:v>海水养殖</x:v>
      </x:c>
      <x:c r="I166" s="48" t="n">
        <x:v>1</x:v>
      </x:c>
      <x:c r="J166" s="48" t="str">
        <x:v>fresh_sales</x:v>
      </x:c>
      <x:c r="K166" s="48" t="str">
        <x:v>鲜销</x:v>
      </x:c>
      <x:c r="L166" s="54" t="n">
        <x:v>306000</x:v>
      </x:c>
      <x:c r="M166" s="54" t="n">
        <x:v>295963.10018348624</x:v>
      </x:c>
      <x:c r="N166" s="55" t="n">
        <x:v>0.74</x:v>
      </x:c>
      <x:c r="O166" s="54" t="n">
        <x:v>219012.6941357798</x:v>
      </x:c>
      <x:c r="P166" s="54" t="n">
        <x:v>262815.23296293576</x:v>
      </x:c>
      <x:c r="Q166" s="55" t="n">
        <x:v>0.024655113829425757</x:v>
      </x:c>
      <x:c r="R166" s="55" t="n">
        <x:v>0.563891669883755</x:v>
      </x:c>
      <x:c r="S166" s="55" t="n">
        <x:v>0.8430314179212858</x:v>
      </x:c>
      <x:c r="T166" s="55" t="n">
        <x:v>1.1861954118694191</x:v>
      </x:c>
      <x:c r="U166" s="55" t="n">
        <x:v>0.42569323520034785</x:v>
      </x:c>
      <x:c r="V166" s="55" t="n">
        <x:v>0.8510073676798783</x:v>
      </x:c>
      <x:c r="W166" s="55" t="n">
        <x:v>0.45519995500526167</x:v>
      </x:c>
      <x:c r="X166" s="55" t="n">
        <x:v>1.0134400134984214</x:v>
      </x:c>
      <x:c r="Y166" s="54" t="n">
        <x:v>239414.63837035422</x:v>
      </x:c>
      <x:c r="Z166" s="54" t="n">
        <x:v>491512.68898010586</x:v>
      </x:c>
      <x:c r="AA166" s="54" t="n">
        <x:v>1267814.0045217758</x:v>
      </x:c>
      <x:c r="AB166" s="55" t="n">
        <x:v>0.84</x:v>
      </x:c>
      <x:c r="AC166" s="55" t="n">
        <x:v>0.8</x:v>
      </x:c>
      <x:c r="AD166" s="55" t="n">
        <x:v>0.33</x:v>
      </x:c>
      <x:c r="AE166" s="55" t="n">
        <x:v>0.78</x:v>
      </x:c>
      <x:c r="AF166" s="55" t="n">
        <x:v>0.11</x:v>
      </x:c>
      <x:c r="AG166" s="53" t="str">
        <x:v>NBS China Statistical Yearbook 2025, Table 12-15</x:v>
      </x:c>
      <x:c r="AH166" s="53" t="str">
        <x:v>calibrated reconstruction; not historical author input</x:v>
      </x:c>
    </x:row>
    <x:row r="167" ht="32" hidden="0" customHeight="1">
      <x:c r="A167" s="48" t="str">
        <x:v>x_r21_s3_m2</x:v>
      </x:c>
      <x:c r="B167" s="48" t="str">
        <x:v>r21</x:v>
      </x:c>
      <x:c r="C167" s="48" t="str">
        <x:v>CN-HI</x:v>
      </x:c>
      <x:c r="D167" s="48" t="str">
        <x:v>Hainan</x:v>
      </x:c>
      <x:c r="E167" s="48" t="str">
        <x:v>海南</x:v>
      </x:c>
      <x:c r="F167" s="48" t="n">
        <x:v>3</x:v>
      </x:c>
      <x:c r="G167" s="48" t="str">
        <x:v>marine_aquaculture</x:v>
      </x:c>
      <x:c r="H167" s="48" t="str">
        <x:v>海水养殖</x:v>
      </x:c>
      <x:c r="I167" s="48" t="n">
        <x:v>2</x:v>
      </x:c>
      <x:c r="J167" s="48" t="str">
        <x:v>deep_processing</x:v>
      </x:c>
      <x:c r="K167" s="48" t="str">
        <x:v>深加工</x:v>
      </x:c>
      <x:c r="L167" s="54" t="n">
        <x:v>306000</x:v>
      </x:c>
      <x:c r="M167" s="54" t="n">
        <x:v>295963.10018348624</x:v>
      </x:c>
      <x:c r="N167" s="55" t="n">
        <x:v>0.26</x:v>
      </x:c>
      <x:c r="O167" s="54" t="n">
        <x:v>76950.40604770642</x:v>
      </x:c>
      <x:c r="P167" s="54" t="n">
        <x:v>92340.4872572477</x:v>
      </x:c>
      <x:c r="Q167" s="55" t="n">
        <x:v>0.024655113829425757</x:v>
      </x:c>
      <x:c r="R167" s="55" t="n">
        <x:v>0.563891669883755</x:v>
      </x:c>
      <x:c r="S167" s="55" t="n">
        <x:v>0.8430314179212858</x:v>
      </x:c>
      <x:c r="T167" s="55" t="n">
        <x:v>1.1861954118694191</x:v>
      </x:c>
      <x:c r="U167" s="55" t="n">
        <x:v>0.42569323520034785</x:v>
      </x:c>
      <x:c r="V167" s="55" t="n">
        <x:v>0.8510073676798783</x:v>
      </x:c>
      <x:c r="W167" s="55" t="n">
        <x:v>0.45519995500526167</x:v>
      </x:c>
      <x:c r="X167" s="55" t="n">
        <x:v>1.0134400134984214</x:v>
      </x:c>
      <x:c r="Y167" s="54" t="n">
        <x:v>239414.63837035422</x:v>
      </x:c>
      <x:c r="Z167" s="54" t="n">
        <x:v>491512.68898010586</x:v>
      </x:c>
      <x:c r="AA167" s="54" t="n">
        <x:v>1267814.0045217758</x:v>
      </x:c>
      <x:c r="AB167" s="55" t="n">
        <x:v>1.02</x:v>
      </x:c>
      <x:c r="AC167" s="55" t="n">
        <x:v>1.16</x:v>
      </x:c>
      <x:c r="AD167" s="55" t="n">
        <x:v>0.41</x:v>
      </x:c>
      <x:c r="AE167" s="55" t="n">
        <x:v>0.81</x:v>
      </x:c>
      <x:c r="AF167" s="55" t="n">
        <x:v>0.11</x:v>
      </x:c>
      <x:c r="AG167" s="53" t="str">
        <x:v>NBS China Statistical Yearbook 2025, Table 12-15</x:v>
      </x:c>
      <x:c r="AH167" s="53" t="str">
        <x:v>calibrated reconstruction; not historical author input</x:v>
      </x:c>
    </x:row>
    <x:row r="168" ht="32" hidden="0" customHeight="1">
      <x:c r="A168" s="48" t="str">
        <x:v>x_r21_s4_m1</x:v>
      </x:c>
      <x:c r="B168" s="48" t="str">
        <x:v>r21</x:v>
      </x:c>
      <x:c r="C168" s="48" t="str">
        <x:v>CN-HI</x:v>
      </x:c>
      <x:c r="D168" s="48" t="str">
        <x:v>Hainan</x:v>
      </x:c>
      <x:c r="E168" s="48" t="str">
        <x:v>海南</x:v>
      </x:c>
      <x:c r="F168" s="48" t="n">
        <x:v>4</x:v>
      </x:c>
      <x:c r="G168" s="48" t="str">
        <x:v>freshwater_aquaculture</x:v>
      </x:c>
      <x:c r="H168" s="48" t="str">
        <x:v>淡水养殖</x:v>
      </x:c>
      <x:c r="I168" s="48" t="n">
        <x:v>1</x:v>
      </x:c>
      <x:c r="J168" s="48" t="str">
        <x:v>fresh_sales</x:v>
      </x:c>
      <x:c r="K168" s="48" t="str">
        <x:v>鲜销</x:v>
      </x:c>
      <x:c r="L168" s="54" t="n">
        <x:v>484000</x:v>
      </x:c>
      <x:c r="M168" s="54" t="n">
        <x:v>468124.6421202854</x:v>
      </x:c>
      <x:c r="N168" s="55" t="n">
        <x:v>0.78</x:v>
      </x:c>
      <x:c r="O168" s="54" t="n">
        <x:v>365137.22085382266</x:v>
      </x:c>
      <x:c r="P168" s="54" t="n">
        <x:v>438164.6650245872</x:v>
      </x:c>
      <x:c r="Q168" s="55" t="n">
        <x:v>0.024655113829425757</x:v>
      </x:c>
      <x:c r="R168" s="55" t="n">
        <x:v>0.563891669883755</x:v>
      </x:c>
      <x:c r="S168" s="55" t="n">
        <x:v>0.8430314179212858</x:v>
      </x:c>
      <x:c r="T168" s="55" t="n">
        <x:v>1.1861954118694191</x:v>
      </x:c>
      <x:c r="U168" s="55" t="n">
        <x:v>0.42569323520034785</x:v>
      </x:c>
      <x:c r="V168" s="55" t="n">
        <x:v>0.8510073676798783</x:v>
      </x:c>
      <x:c r="W168" s="55" t="n">
        <x:v>0.45519995500526167</x:v>
      </x:c>
      <x:c r="X168" s="55" t="n">
        <x:v>1.0134400134984214</x:v>
      </x:c>
      <x:c r="Y168" s="54" t="n">
        <x:v>239414.63837035422</x:v>
      </x:c>
      <x:c r="Z168" s="54" t="n">
        <x:v>491512.68898010586</x:v>
      </x:c>
      <x:c r="AA168" s="54" t="n">
        <x:v>1267814.0045217758</x:v>
      </x:c>
      <x:c r="AB168" s="55" t="n">
        <x:v>0.88</x:v>
      </x:c>
      <x:c r="AC168" s="55" t="n">
        <x:v>0.84</x:v>
      </x:c>
      <x:c r="AD168" s="55" t="n">
        <x:v>0.31</x:v>
      </x:c>
      <x:c r="AE168" s="55" t="n">
        <x:v>0.88</x:v>
      </x:c>
      <x:c r="AF168" s="55" t="n">
        <x:v>0.08</x:v>
      </x:c>
      <x:c r="AG168" s="53" t="str">
        <x:v>NBS China Statistical Yearbook 2025, Table 12-15</x:v>
      </x:c>
      <x:c r="AH168" s="53" t="str">
        <x:v>calibrated reconstruction; not historical author input</x:v>
      </x:c>
    </x:row>
    <x:row r="169" ht="32" hidden="0" customHeight="1">
      <x:c r="A169" s="48" t="str">
        <x:v>x_r21_s4_m2</x:v>
      </x:c>
      <x:c r="B169" s="48" t="str">
        <x:v>r21</x:v>
      </x:c>
      <x:c r="C169" s="48" t="str">
        <x:v>CN-HI</x:v>
      </x:c>
      <x:c r="D169" s="48" t="str">
        <x:v>Hainan</x:v>
      </x:c>
      <x:c r="E169" s="48" t="str">
        <x:v>海南</x:v>
      </x:c>
      <x:c r="F169" s="48" t="n">
        <x:v>4</x:v>
      </x:c>
      <x:c r="G169" s="48" t="str">
        <x:v>freshwater_aquaculture</x:v>
      </x:c>
      <x:c r="H169" s="48" t="str">
        <x:v>淡水养殖</x:v>
      </x:c>
      <x:c r="I169" s="48" t="n">
        <x:v>2</x:v>
      </x:c>
      <x:c r="J169" s="48" t="str">
        <x:v>deep_processing</x:v>
      </x:c>
      <x:c r="K169" s="48" t="str">
        <x:v>深加工</x:v>
      </x:c>
      <x:c r="L169" s="54" t="n">
        <x:v>484000</x:v>
      </x:c>
      <x:c r="M169" s="54" t="n">
        <x:v>468124.6421202854</x:v>
      </x:c>
      <x:c r="N169" s="55" t="n">
        <x:v>0.22</x:v>
      </x:c>
      <x:c r="O169" s="54" t="n">
        <x:v>102987.4212664628</x:v>
      </x:c>
      <x:c r="P169" s="54" t="n">
        <x:v>123584.90551975535</x:v>
      </x:c>
      <x:c r="Q169" s="55" t="n">
        <x:v>0.024655113829425757</x:v>
      </x:c>
      <x:c r="R169" s="55" t="n">
        <x:v>0.563891669883755</x:v>
      </x:c>
      <x:c r="S169" s="55" t="n">
        <x:v>0.8430314179212858</x:v>
      </x:c>
      <x:c r="T169" s="55" t="n">
        <x:v>1.1861954118694191</x:v>
      </x:c>
      <x:c r="U169" s="55" t="n">
        <x:v>0.42569323520034785</x:v>
      </x:c>
      <x:c r="V169" s="55" t="n">
        <x:v>0.8510073676798783</x:v>
      </x:c>
      <x:c r="W169" s="55" t="n">
        <x:v>0.45519995500526167</x:v>
      </x:c>
      <x:c r="X169" s="55" t="n">
        <x:v>1.0134400134984214</x:v>
      </x:c>
      <x:c r="Y169" s="54" t="n">
        <x:v>239414.63837035422</x:v>
      </x:c>
      <x:c r="Z169" s="54" t="n">
        <x:v>491512.68898010586</x:v>
      </x:c>
      <x:c r="AA169" s="54" t="n">
        <x:v>1267814.0045217758</x:v>
      </x:c>
      <x:c r="AB169" s="55" t="n">
        <x:v>1.06</x:v>
      </x:c>
      <x:c r="AC169" s="55" t="n">
        <x:v>1.2</x:v>
      </x:c>
      <x:c r="AD169" s="55" t="n">
        <x:v>0.39</x:v>
      </x:c>
      <x:c r="AE169" s="55" t="n">
        <x:v>0.91</x:v>
      </x:c>
      <x:c r="AF169" s="55" t="n">
        <x:v>0.08</x:v>
      </x:c>
      <x:c r="AG169" s="53" t="str">
        <x:v>NBS China Statistical Yearbook 2025, Table 12-15</x:v>
      </x:c>
      <x:c r="AH169" s="53" t="str">
        <x:v>calibrated reconstruction; not historical author input</x:v>
      </x:c>
    </x:row>
    <x:row r="170" ht="32" hidden="0" customHeight="1">
      <x:c r="A170" s="48" t="str">
        <x:v>x_r22_s1_m1</x:v>
      </x:c>
      <x:c r="B170" s="48" t="str">
        <x:v>r22</x:v>
      </x:c>
      <x:c r="C170" s="48" t="str">
        <x:v>CN-CQ</x:v>
      </x:c>
      <x:c r="D170" s="48" t="str">
        <x:v>Chongqing</x:v>
      </x:c>
      <x:c r="E170" s="48" t="str">
        <x:v>重庆</x:v>
      </x:c>
      <x:c r="F170" s="48" t="n">
        <x:v>1</x:v>
      </x:c>
      <x:c r="G170" s="48" t="str">
        <x:v>marine_capture</x:v>
      </x:c>
      <x:c r="H170" s="48" t="str">
        <x:v>海洋捕捞</x:v>
      </x:c>
      <x:c r="I170" s="48" t="n">
        <x:v>1</x:v>
      </x:c>
      <x:c r="J170" s="48" t="str">
        <x:v>fresh_sales</x:v>
      </x:c>
      <x:c r="K170" s="48" t="str">
        <x:v>鲜销</x:v>
      </x:c>
      <x:c r="L170" s="54" t="n">
        <x:v>0</x:v>
      </x:c>
      <x:c r="M170" s="54" t="n">
        <x:v>0</x:v>
      </x:c>
      <x:c r="N170" s="55" t="n">
        <x:v>0.62</x:v>
      </x:c>
      <x:c r="O170" s="54" t="n">
        <x:v>0</x:v>
      </x:c>
      <x:c r="P170" s="54" t="n">
        <x:v>0</x:v>
      </x:c>
      <x:c r="Q170" s="55" t="n">
        <x:v>0.008318042813455658</x:v>
      </x:c>
      <x:c r="R170" s="55" t="n">
        <x:v>0.6334841983317789</x:v>
      </x:c>
      <x:c r="S170" s="55" t="n">
        <x:v>0.9612480030982233</x:v>
      </x:c>
      <x:c r="T170" s="55" t="n">
        <x:v>1.0403142547780324</x:v>
      </x:c>
      <x:c r="U170" s="55" t="n">
        <x:v>0.31459774850064587</x:v>
      </x:c>
      <x:c r="V170" s="55" t="n">
        <x:v>0.889890788024774</x:v>
      </x:c>
      <x:c r="W170" s="55" t="n">
        <x:v>0.7377580610334322</x:v>
      </x:c>
      <x:c r="X170" s="55" t="n">
        <x:v>0.9286725816899702</x:v>
      </x:c>
      <x:c r="Y170" s="54" t="n">
        <x:v>140083.37344449395</x:v>
      </x:c>
      <x:c r="Z170" s="54" t="n">
        <x:v>202620.34775473241</x:v>
      </x:c>
      <x:c r="AA170" s="54" t="n">
        <x:v>34803.183402140785</x:v>
      </x:c>
      <x:c r="AB170" s="55" t="n">
        <x:v>0.65</x:v>
      </x:c>
      <x:c r="AC170" s="55" t="n">
        <x:v>0.62</x:v>
      </x:c>
      <x:c r="AD170" s="55" t="n">
        <x:v>0.29</x:v>
      </x:c>
      <x:c r="AE170" s="55" t="n">
        <x:v>0.28</x:v>
      </x:c>
      <x:c r="AF170" s="55" t="n">
        <x:v>1</x:v>
      </x:c>
      <x:c r="AG170" s="53" t="str">
        <x:v>NBS China Statistical Yearbook 2025, Table 12-15</x:v>
      </x:c>
      <x:c r="AH170" s="53" t="str">
        <x:v>calibrated reconstruction; not historical author input</x:v>
      </x:c>
    </x:row>
    <x:row r="171" ht="32" hidden="0" customHeight="1">
      <x:c r="A171" s="48" t="str">
        <x:v>x_r22_s1_m2</x:v>
      </x:c>
      <x:c r="B171" s="48" t="str">
        <x:v>r22</x:v>
      </x:c>
      <x:c r="C171" s="48" t="str">
        <x:v>CN-CQ</x:v>
      </x:c>
      <x:c r="D171" s="48" t="str">
        <x:v>Chongqing</x:v>
      </x:c>
      <x:c r="E171" s="48" t="str">
        <x:v>重庆</x:v>
      </x:c>
      <x:c r="F171" s="48" t="n">
        <x:v>1</x:v>
      </x:c>
      <x:c r="G171" s="48" t="str">
        <x:v>marine_capture</x:v>
      </x:c>
      <x:c r="H171" s="48" t="str">
        <x:v>海洋捕捞</x:v>
      </x:c>
      <x:c r="I171" s="48" t="n">
        <x:v>2</x:v>
      </x:c>
      <x:c r="J171" s="48" t="str">
        <x:v>deep_processing</x:v>
      </x:c>
      <x:c r="K171" s="48" t="str">
        <x:v>深加工</x:v>
      </x:c>
      <x:c r="L171" s="54" t="n">
        <x:v>0</x:v>
      </x:c>
      <x:c r="M171" s="54" t="n">
        <x:v>0</x:v>
      </x:c>
      <x:c r="N171" s="55" t="n">
        <x:v>0.38</x:v>
      </x:c>
      <x:c r="O171" s="54" t="n">
        <x:v>0</x:v>
      </x:c>
      <x:c r="P171" s="54" t="n">
        <x:v>0</x:v>
      </x:c>
      <x:c r="Q171" s="55" t="n">
        <x:v>0.008318042813455658</x:v>
      </x:c>
      <x:c r="R171" s="55" t="n">
        <x:v>0.6334841983317789</x:v>
      </x:c>
      <x:c r="S171" s="55" t="n">
        <x:v>0.9612480030982233</x:v>
      </x:c>
      <x:c r="T171" s="55" t="n">
        <x:v>1.0403142547780324</x:v>
      </x:c>
      <x:c r="U171" s="55" t="n">
        <x:v>0.31459774850064587</x:v>
      </x:c>
      <x:c r="V171" s="55" t="n">
        <x:v>0.889890788024774</x:v>
      </x:c>
      <x:c r="W171" s="55" t="n">
        <x:v>0.7377580610334322</x:v>
      </x:c>
      <x:c r="X171" s="55" t="n">
        <x:v>0.9286725816899702</x:v>
      </x:c>
      <x:c r="Y171" s="54" t="n">
        <x:v>140083.37344449395</x:v>
      </x:c>
      <x:c r="Z171" s="54" t="n">
        <x:v>202620.34775473241</x:v>
      </x:c>
      <x:c r="AA171" s="54" t="n">
        <x:v>34803.183402140785</x:v>
      </x:c>
      <x:c r="AB171" s="55" t="n">
        <x:v>0.82</x:v>
      </x:c>
      <x:c r="AC171" s="55" t="n">
        <x:v>0.95</x:v>
      </x:c>
      <x:c r="AD171" s="55" t="n">
        <x:v>0.36</x:v>
      </x:c>
      <x:c r="AE171" s="55" t="n">
        <x:v>0.31</x:v>
      </x:c>
      <x:c r="AF171" s="55" t="n">
        <x:v>1</x:v>
      </x:c>
      <x:c r="AG171" s="53" t="str">
        <x:v>NBS China Statistical Yearbook 2025, Table 12-15</x:v>
      </x:c>
      <x:c r="AH171" s="53" t="str">
        <x:v>calibrated reconstruction; not historical author input</x:v>
      </x:c>
    </x:row>
    <x:row r="172" ht="32" hidden="0" customHeight="1">
      <x:c r="A172" s="48" t="str">
        <x:v>x_r22_s2_m1</x:v>
      </x:c>
      <x:c r="B172" s="48" t="str">
        <x:v>r22</x:v>
      </x:c>
      <x:c r="C172" s="48" t="str">
        <x:v>CN-CQ</x:v>
      </x:c>
      <x:c r="D172" s="48" t="str">
        <x:v>Chongqing</x:v>
      </x:c>
      <x:c r="E172" s="48" t="str">
        <x:v>重庆</x:v>
      </x:c>
      <x:c r="F172" s="48" t="n">
        <x:v>2</x:v>
      </x:c>
      <x:c r="G172" s="48" t="str">
        <x:v>freshwater_capture</x:v>
      </x:c>
      <x:c r="H172" s="48" t="str">
        <x:v>淡水捕捞</x:v>
      </x:c>
      <x:c r="I172" s="48" t="n">
        <x:v>1</x:v>
      </x:c>
      <x:c r="J172" s="48" t="str">
        <x:v>fresh_sales</x:v>
      </x:c>
      <x:c r="K172" s="48" t="str">
        <x:v>鲜销</x:v>
      </x:c>
      <x:c r="L172" s="54" t="n">
        <x:v>0</x:v>
      </x:c>
      <x:c r="M172" s="54" t="n">
        <x:v>0</x:v>
      </x:c>
      <x:c r="N172" s="55" t="n">
        <x:v>0.67</x:v>
      </x:c>
      <x:c r="O172" s="54" t="n">
        <x:v>0</x:v>
      </x:c>
      <x:c r="P172" s="54" t="n">
        <x:v>0</x:v>
      </x:c>
      <x:c r="Q172" s="55" t="n">
        <x:v>0.008318042813455658</x:v>
      </x:c>
      <x:c r="R172" s="55" t="n">
        <x:v>0.6334841983317789</x:v>
      </x:c>
      <x:c r="S172" s="55" t="n">
        <x:v>0.9612480030982233</x:v>
      </x:c>
      <x:c r="T172" s="55" t="n">
        <x:v>1.0403142547780324</x:v>
      </x:c>
      <x:c r="U172" s="55" t="n">
        <x:v>0.31459774850064587</x:v>
      </x:c>
      <x:c r="V172" s="55" t="n">
        <x:v>0.889890788024774</x:v>
      </x:c>
      <x:c r="W172" s="55" t="n">
        <x:v>0.7377580610334322</x:v>
      </x:c>
      <x:c r="X172" s="55" t="n">
        <x:v>0.9286725816899702</x:v>
      </x:c>
      <x:c r="Y172" s="54" t="n">
        <x:v>140083.37344449395</x:v>
      </x:c>
      <x:c r="Z172" s="54" t="n">
        <x:v>202620.34775473241</x:v>
      </x:c>
      <x:c r="AA172" s="54" t="n">
        <x:v>34803.183402140785</x:v>
      </x:c>
      <x:c r="AB172" s="55" t="n">
        <x:v>0.7</x:v>
      </x:c>
      <x:c r="AC172" s="55" t="n">
        <x:v>0.67</x:v>
      </x:c>
      <x:c r="AD172" s="55" t="n">
        <x:v>0.26</x:v>
      </x:c>
      <x:c r="AE172" s="55" t="n">
        <x:v>0.42</x:v>
      </x:c>
      <x:c r="AF172" s="55" t="n">
        <x:v>0.7</x:v>
      </x:c>
      <x:c r="AG172" s="53" t="str">
        <x:v>NBS China Statistical Yearbook 2025, Table 12-15</x:v>
      </x:c>
      <x:c r="AH172" s="53" t="str">
        <x:v>calibrated reconstruction; not historical author input</x:v>
      </x:c>
    </x:row>
    <x:row r="173" ht="32" hidden="0" customHeight="1">
      <x:c r="A173" s="48" t="str">
        <x:v>x_r22_s2_m2</x:v>
      </x:c>
      <x:c r="B173" s="48" t="str">
        <x:v>r22</x:v>
      </x:c>
      <x:c r="C173" s="48" t="str">
        <x:v>CN-CQ</x:v>
      </x:c>
      <x:c r="D173" s="48" t="str">
        <x:v>Chongqing</x:v>
      </x:c>
      <x:c r="E173" s="48" t="str">
        <x:v>重庆</x:v>
      </x:c>
      <x:c r="F173" s="48" t="n">
        <x:v>2</x:v>
      </x:c>
      <x:c r="G173" s="48" t="str">
        <x:v>freshwater_capture</x:v>
      </x:c>
      <x:c r="H173" s="48" t="str">
        <x:v>淡水捕捞</x:v>
      </x:c>
      <x:c r="I173" s="48" t="n">
        <x:v>2</x:v>
      </x:c>
      <x:c r="J173" s="48" t="str">
        <x:v>deep_processing</x:v>
      </x:c>
      <x:c r="K173" s="48" t="str">
        <x:v>深加工</x:v>
      </x:c>
      <x:c r="L173" s="54" t="n">
        <x:v>0</x:v>
      </x:c>
      <x:c r="M173" s="54" t="n">
        <x:v>0</x:v>
      </x:c>
      <x:c r="N173" s="55" t="n">
        <x:v>0.33</x:v>
      </x:c>
      <x:c r="O173" s="54" t="n">
        <x:v>0</x:v>
      </x:c>
      <x:c r="P173" s="54" t="n">
        <x:v>0</x:v>
      </x:c>
      <x:c r="Q173" s="55" t="n">
        <x:v>0.008318042813455658</x:v>
      </x:c>
      <x:c r="R173" s="55" t="n">
        <x:v>0.6334841983317789</x:v>
      </x:c>
      <x:c r="S173" s="55" t="n">
        <x:v>0.9612480030982233</x:v>
      </x:c>
      <x:c r="T173" s="55" t="n">
        <x:v>1.0403142547780324</x:v>
      </x:c>
      <x:c r="U173" s="55" t="n">
        <x:v>0.31459774850064587</x:v>
      </x:c>
      <x:c r="V173" s="55" t="n">
        <x:v>0.889890788024774</x:v>
      </x:c>
      <x:c r="W173" s="55" t="n">
        <x:v>0.7377580610334322</x:v>
      </x:c>
      <x:c r="X173" s="55" t="n">
        <x:v>0.9286725816899702</x:v>
      </x:c>
      <x:c r="Y173" s="54" t="n">
        <x:v>140083.37344449395</x:v>
      </x:c>
      <x:c r="Z173" s="54" t="n">
        <x:v>202620.34775473241</x:v>
      </x:c>
      <x:c r="AA173" s="54" t="n">
        <x:v>34803.183402140785</x:v>
      </x:c>
      <x:c r="AB173" s="55" t="n">
        <x:v>0.86</x:v>
      </x:c>
      <x:c r="AC173" s="55" t="n">
        <x:v>0.99</x:v>
      </x:c>
      <x:c r="AD173" s="55" t="n">
        <x:v>0.34</x:v>
      </x:c>
      <x:c r="AE173" s="55" t="n">
        <x:v>0.45</x:v>
      </x:c>
      <x:c r="AF173" s="55" t="n">
        <x:v>0.7</x:v>
      </x:c>
      <x:c r="AG173" s="53" t="str">
        <x:v>NBS China Statistical Yearbook 2025, Table 12-15</x:v>
      </x:c>
      <x:c r="AH173" s="53" t="str">
        <x:v>calibrated reconstruction; not historical author input</x:v>
      </x:c>
    </x:row>
    <x:row r="174" ht="32" hidden="0" customHeight="1">
      <x:c r="A174" s="48" t="str">
        <x:v>x_r22_s3_m1</x:v>
      </x:c>
      <x:c r="B174" s="48" t="str">
        <x:v>r22</x:v>
      </x:c>
      <x:c r="C174" s="48" t="str">
        <x:v>CN-CQ</x:v>
      </x:c>
      <x:c r="D174" s="48" t="str">
        <x:v>Chongqing</x:v>
      </x:c>
      <x:c r="E174" s="48" t="str">
        <x:v>重庆</x:v>
      </x:c>
      <x:c r="F174" s="48" t="n">
        <x:v>3</x:v>
      </x:c>
      <x:c r="G174" s="48" t="str">
        <x:v>marine_aquaculture</x:v>
      </x:c>
      <x:c r="H174" s="48" t="str">
        <x:v>海水养殖</x:v>
      </x:c>
      <x:c r="I174" s="48" t="n">
        <x:v>1</x:v>
      </x:c>
      <x:c r="J174" s="48" t="str">
        <x:v>fresh_sales</x:v>
      </x:c>
      <x:c r="K174" s="48" t="str">
        <x:v>鲜销</x:v>
      </x:c>
      <x:c r="L174" s="54" t="n">
        <x:v>0</x:v>
      </x:c>
      <x:c r="M174" s="54" t="n">
        <x:v>0</x:v>
      </x:c>
      <x:c r="N174" s="55" t="n">
        <x:v>0.74</x:v>
      </x:c>
      <x:c r="O174" s="54" t="n">
        <x:v>0</x:v>
      </x:c>
      <x:c r="P174" s="54" t="n">
        <x:v>0</x:v>
      </x:c>
      <x:c r="Q174" s="55" t="n">
        <x:v>0.008318042813455658</x:v>
      </x:c>
      <x:c r="R174" s="55" t="n">
        <x:v>0.6334841983317789</x:v>
      </x:c>
      <x:c r="S174" s="55" t="n">
        <x:v>0.9612480030982233</x:v>
      </x:c>
      <x:c r="T174" s="55" t="n">
        <x:v>1.0403142547780324</x:v>
      </x:c>
      <x:c r="U174" s="55" t="n">
        <x:v>0.31459774850064587</x:v>
      </x:c>
      <x:c r="V174" s="55" t="n">
        <x:v>0.889890788024774</x:v>
      </x:c>
      <x:c r="W174" s="55" t="n">
        <x:v>0.7377580610334322</x:v>
      </x:c>
      <x:c r="X174" s="55" t="n">
        <x:v>0.9286725816899702</x:v>
      </x:c>
      <x:c r="Y174" s="54" t="n">
        <x:v>140083.37344449395</x:v>
      </x:c>
      <x:c r="Z174" s="54" t="n">
        <x:v>202620.34775473241</x:v>
      </x:c>
      <x:c r="AA174" s="54" t="n">
        <x:v>34803.183402140785</x:v>
      </x:c>
      <x:c r="AB174" s="55" t="n">
        <x:v>0.84</x:v>
      </x:c>
      <x:c r="AC174" s="55" t="n">
        <x:v>0.8</x:v>
      </x:c>
      <x:c r="AD174" s="55" t="n">
        <x:v>0.33</x:v>
      </x:c>
      <x:c r="AE174" s="55" t="n">
        <x:v>0.78</x:v>
      </x:c>
      <x:c r="AF174" s="55" t="n">
        <x:v>0.11</x:v>
      </x:c>
      <x:c r="AG174" s="53" t="str">
        <x:v>NBS China Statistical Yearbook 2025, Table 12-15</x:v>
      </x:c>
      <x:c r="AH174" s="53" t="str">
        <x:v>calibrated reconstruction; not historical author input</x:v>
      </x:c>
    </x:row>
    <x:row r="175" ht="32" hidden="0" customHeight="1">
      <x:c r="A175" s="48" t="str">
        <x:v>x_r22_s3_m2</x:v>
      </x:c>
      <x:c r="B175" s="48" t="str">
        <x:v>r22</x:v>
      </x:c>
      <x:c r="C175" s="48" t="str">
        <x:v>CN-CQ</x:v>
      </x:c>
      <x:c r="D175" s="48" t="str">
        <x:v>Chongqing</x:v>
      </x:c>
      <x:c r="E175" s="48" t="str">
        <x:v>重庆</x:v>
      </x:c>
      <x:c r="F175" s="48" t="n">
        <x:v>3</x:v>
      </x:c>
      <x:c r="G175" s="48" t="str">
        <x:v>marine_aquaculture</x:v>
      </x:c>
      <x:c r="H175" s="48" t="str">
        <x:v>海水养殖</x:v>
      </x:c>
      <x:c r="I175" s="48" t="n">
        <x:v>2</x:v>
      </x:c>
      <x:c r="J175" s="48" t="str">
        <x:v>deep_processing</x:v>
      </x:c>
      <x:c r="K175" s="48" t="str">
        <x:v>深加工</x:v>
      </x:c>
      <x:c r="L175" s="54" t="n">
        <x:v>0</x:v>
      </x:c>
      <x:c r="M175" s="54" t="n">
        <x:v>0</x:v>
      </x:c>
      <x:c r="N175" s="55" t="n">
        <x:v>0.26</x:v>
      </x:c>
      <x:c r="O175" s="54" t="n">
        <x:v>0</x:v>
      </x:c>
      <x:c r="P175" s="54" t="n">
        <x:v>0</x:v>
      </x:c>
      <x:c r="Q175" s="55" t="n">
        <x:v>0.008318042813455658</x:v>
      </x:c>
      <x:c r="R175" s="55" t="n">
        <x:v>0.6334841983317789</x:v>
      </x:c>
      <x:c r="S175" s="55" t="n">
        <x:v>0.9612480030982233</x:v>
      </x:c>
      <x:c r="T175" s="55" t="n">
        <x:v>1.0403142547780324</x:v>
      </x:c>
      <x:c r="U175" s="55" t="n">
        <x:v>0.31459774850064587</x:v>
      </x:c>
      <x:c r="V175" s="55" t="n">
        <x:v>0.889890788024774</x:v>
      </x:c>
      <x:c r="W175" s="55" t="n">
        <x:v>0.7377580610334322</x:v>
      </x:c>
      <x:c r="X175" s="55" t="n">
        <x:v>0.9286725816899702</x:v>
      </x:c>
      <x:c r="Y175" s="54" t="n">
        <x:v>140083.37344449395</x:v>
      </x:c>
      <x:c r="Z175" s="54" t="n">
        <x:v>202620.34775473241</x:v>
      </x:c>
      <x:c r="AA175" s="54" t="n">
        <x:v>34803.183402140785</x:v>
      </x:c>
      <x:c r="AB175" s="55" t="n">
        <x:v>1.02</x:v>
      </x:c>
      <x:c r="AC175" s="55" t="n">
        <x:v>1.16</x:v>
      </x:c>
      <x:c r="AD175" s="55" t="n">
        <x:v>0.41</x:v>
      </x:c>
      <x:c r="AE175" s="55" t="n">
        <x:v>0.81</x:v>
      </x:c>
      <x:c r="AF175" s="55" t="n">
        <x:v>0.11</x:v>
      </x:c>
      <x:c r="AG175" s="53" t="str">
        <x:v>NBS China Statistical Yearbook 2025, Table 12-15</x:v>
      </x:c>
      <x:c r="AH175" s="53" t="str">
        <x:v>calibrated reconstruction; not historical author input</x:v>
      </x:c>
    </x:row>
    <x:row r="176" ht="32" hidden="0" customHeight="1">
      <x:c r="A176" s="48" t="str">
        <x:v>x_r22_s4_m1</x:v>
      </x:c>
      <x:c r="B176" s="48" t="str">
        <x:v>r22</x:v>
      </x:c>
      <x:c r="C176" s="48" t="str">
        <x:v>CN-CQ</x:v>
      </x:c>
      <x:c r="D176" s="48" t="str">
        <x:v>Chongqing</x:v>
      </x:c>
      <x:c r="E176" s="48" t="str">
        <x:v>重庆</x:v>
      </x:c>
      <x:c r="F176" s="48" t="n">
        <x:v>4</x:v>
      </x:c>
      <x:c r="G176" s="48" t="str">
        <x:v>freshwater_aquaculture</x:v>
      </x:c>
      <x:c r="H176" s="48" t="str">
        <x:v>淡水养殖</x:v>
      </x:c>
      <x:c r="I176" s="48" t="n">
        <x:v>1</x:v>
      </x:c>
      <x:c r="J176" s="48" t="str">
        <x:v>fresh_sales</x:v>
      </x:c>
      <x:c r="K176" s="48" t="str">
        <x:v>鲜销</x:v>
      </x:c>
      <x:c r="L176" s="54" t="n">
        <x:v>612000</x:v>
      </x:c>
      <x:c r="M176" s="54" t="n">
        <x:v>591926.2003669725</x:v>
      </x:c>
      <x:c r="N176" s="55" t="n">
        <x:v>0.78</x:v>
      </x:c>
      <x:c r="O176" s="54" t="n">
        <x:v>461702.43628623855</x:v>
      </x:c>
      <x:c r="P176" s="54" t="n">
        <x:v>554042.9235434863</x:v>
      </x:c>
      <x:c r="Q176" s="55" t="n">
        <x:v>0.008318042813455658</x:v>
      </x:c>
      <x:c r="R176" s="55" t="n">
        <x:v>0.6334841983317789</x:v>
      </x:c>
      <x:c r="S176" s="55" t="n">
        <x:v>0.9612480030982233</x:v>
      </x:c>
      <x:c r="T176" s="55" t="n">
        <x:v>1.0403142547780324</x:v>
      </x:c>
      <x:c r="U176" s="55" t="n">
        <x:v>0.31459774850064587</x:v>
      </x:c>
      <x:c r="V176" s="55" t="n">
        <x:v>0.889890788024774</x:v>
      </x:c>
      <x:c r="W176" s="55" t="n">
        <x:v>0.7377580610334322</x:v>
      </x:c>
      <x:c r="X176" s="55" t="n">
        <x:v>0.9286725816899702</x:v>
      </x:c>
      <x:c r="Y176" s="54" t="n">
        <x:v>140083.37344449395</x:v>
      </x:c>
      <x:c r="Z176" s="54" t="n">
        <x:v>202620.34775473241</x:v>
      </x:c>
      <x:c r="AA176" s="54" t="n">
        <x:v>34803.183402140785</x:v>
      </x:c>
      <x:c r="AB176" s="55" t="n">
        <x:v>0.88</x:v>
      </x:c>
      <x:c r="AC176" s="55" t="n">
        <x:v>0.84</x:v>
      </x:c>
      <x:c r="AD176" s="55" t="n">
        <x:v>0.31</x:v>
      </x:c>
      <x:c r="AE176" s="55" t="n">
        <x:v>0.88</x:v>
      </x:c>
      <x:c r="AF176" s="55" t="n">
        <x:v>0.08</x:v>
      </x:c>
      <x:c r="AG176" s="53" t="str">
        <x:v>NBS China Statistical Yearbook 2025, Table 12-15</x:v>
      </x:c>
      <x:c r="AH176" s="53" t="str">
        <x:v>calibrated reconstruction; not historical author input</x:v>
      </x:c>
    </x:row>
    <x:row r="177" ht="32" hidden="0" customHeight="1">
      <x:c r="A177" s="48" t="str">
        <x:v>x_r22_s4_m2</x:v>
      </x:c>
      <x:c r="B177" s="48" t="str">
        <x:v>r22</x:v>
      </x:c>
      <x:c r="C177" s="48" t="str">
        <x:v>CN-CQ</x:v>
      </x:c>
      <x:c r="D177" s="48" t="str">
        <x:v>Chongqing</x:v>
      </x:c>
      <x:c r="E177" s="48" t="str">
        <x:v>重庆</x:v>
      </x:c>
      <x:c r="F177" s="48" t="n">
        <x:v>4</x:v>
      </x:c>
      <x:c r="G177" s="48" t="str">
        <x:v>freshwater_aquaculture</x:v>
      </x:c>
      <x:c r="H177" s="48" t="str">
        <x:v>淡水养殖</x:v>
      </x:c>
      <x:c r="I177" s="48" t="n">
        <x:v>2</x:v>
      </x:c>
      <x:c r="J177" s="48" t="str">
        <x:v>deep_processing</x:v>
      </x:c>
      <x:c r="K177" s="48" t="str">
        <x:v>深加工</x:v>
      </x:c>
      <x:c r="L177" s="54" t="n">
        <x:v>612000</x:v>
      </x:c>
      <x:c r="M177" s="54" t="n">
        <x:v>591926.2003669725</x:v>
      </x:c>
      <x:c r="N177" s="55" t="n">
        <x:v>0.22</x:v>
      </x:c>
      <x:c r="O177" s="54" t="n">
        <x:v>130223.76408073395</x:v>
      </x:c>
      <x:c r="P177" s="54" t="n">
        <x:v>156268.51689688073</x:v>
      </x:c>
      <x:c r="Q177" s="55" t="n">
        <x:v>0.008318042813455658</x:v>
      </x:c>
      <x:c r="R177" s="55" t="n">
        <x:v>0.6334841983317789</x:v>
      </x:c>
      <x:c r="S177" s="55" t="n">
        <x:v>0.9612480030982233</x:v>
      </x:c>
      <x:c r="T177" s="55" t="n">
        <x:v>1.0403142547780324</x:v>
      </x:c>
      <x:c r="U177" s="55" t="n">
        <x:v>0.31459774850064587</x:v>
      </x:c>
      <x:c r="V177" s="55" t="n">
        <x:v>0.889890788024774</x:v>
      </x:c>
      <x:c r="W177" s="55" t="n">
        <x:v>0.7377580610334322</x:v>
      </x:c>
      <x:c r="X177" s="55" t="n">
        <x:v>0.9286725816899702</x:v>
      </x:c>
      <x:c r="Y177" s="54" t="n">
        <x:v>140083.37344449395</x:v>
      </x:c>
      <x:c r="Z177" s="54" t="n">
        <x:v>202620.34775473241</x:v>
      </x:c>
      <x:c r="AA177" s="54" t="n">
        <x:v>34803.183402140785</x:v>
      </x:c>
      <x:c r="AB177" s="55" t="n">
        <x:v>1.06</x:v>
      </x:c>
      <x:c r="AC177" s="55" t="n">
        <x:v>1.2</x:v>
      </x:c>
      <x:c r="AD177" s="55" t="n">
        <x:v>0.39</x:v>
      </x:c>
      <x:c r="AE177" s="55" t="n">
        <x:v>0.91</x:v>
      </x:c>
      <x:c r="AF177" s="55" t="n">
        <x:v>0.08</x:v>
      </x:c>
      <x:c r="AG177" s="53" t="str">
        <x:v>NBS China Statistical Yearbook 2025, Table 12-15</x:v>
      </x:c>
      <x:c r="AH177" s="53" t="str">
        <x:v>calibrated reconstruction; not historical author input</x:v>
      </x:c>
    </x:row>
    <x:row r="178" ht="32" hidden="0" customHeight="1">
      <x:c r="A178" s="48" t="str">
        <x:v>x_r23_s1_m1</x:v>
      </x:c>
      <x:c r="B178" s="48" t="str">
        <x:v>r23</x:v>
      </x:c>
      <x:c r="C178" s="48" t="str">
        <x:v>CN-SC</x:v>
      </x:c>
      <x:c r="D178" s="48" t="str">
        <x:v>Sichuan</x:v>
      </x:c>
      <x:c r="E178" s="48" t="str">
        <x:v>四川</x:v>
      </x:c>
      <x:c r="F178" s="48" t="n">
        <x:v>1</x:v>
      </x:c>
      <x:c r="G178" s="48" t="str">
        <x:v>marine_capture</x:v>
      </x:c>
      <x:c r="H178" s="48" t="str">
        <x:v>海洋捕捞</x:v>
      </x:c>
      <x:c r="I178" s="48" t="n">
        <x:v>1</x:v>
      </x:c>
      <x:c r="J178" s="48" t="str">
        <x:v>fresh_sales</x:v>
      </x:c>
      <x:c r="K178" s="48" t="str">
        <x:v>鲜销</x:v>
      </x:c>
      <x:c r="L178" s="54" t="n">
        <x:v>0</x:v>
      </x:c>
      <x:c r="M178" s="54" t="n">
        <x:v>0</x:v>
      </x:c>
      <x:c r="N178" s="55" t="n">
        <x:v>0.62</x:v>
      </x:c>
      <x:c r="O178" s="54" t="n">
        <x:v>0</x:v>
      </x:c>
      <x:c r="P178" s="54" t="n">
        <x:v>0</x:v>
      </x:c>
      <x:c r="Q178" s="55" t="n">
        <x:v>0.0254434250764526</x:v>
      </x:c>
      <x:c r="R178" s="55" t="n">
        <x:v>0.43510878700319344</x:v>
      </x:c>
      <x:c r="S178" s="55" t="n">
        <x:v>0.8308321634312824</x:v>
      </x:c>
      <x:c r="T178" s="55" t="n">
        <x:v>1.2036125273124545</x:v>
      </x:c>
      <x:c r="U178" s="55" t="n">
        <x:v>0.39311963064445243</x:v>
      </x:c>
      <x:c r="V178" s="55" t="n">
        <x:v>0.8624081292744417</x:v>
      </x:c>
      <x:c r="W178" s="55" t="n">
        <x:v>0.8289131021476875</x:v>
      </x:c>
      <x:c r="X178" s="55" t="n">
        <x:v>0.9013260693556937</x:v>
      </x:c>
      <x:c r="Y178" s="54" t="n">
        <x:v>399348.72748089634</x:v>
      </x:c>
      <x:c r="Z178" s="54" t="n">
        <x:v>656089.8127544336</x:v>
      </x:c>
      <x:c r="AA178" s="54" t="n">
        <x:v>106456.79628890124</x:v>
      </x:c>
      <x:c r="AB178" s="55" t="n">
        <x:v>0.65</x:v>
      </x:c>
      <x:c r="AC178" s="55" t="n">
        <x:v>0.62</x:v>
      </x:c>
      <x:c r="AD178" s="55" t="n">
        <x:v>0.29</x:v>
      </x:c>
      <x:c r="AE178" s="55" t="n">
        <x:v>0.28</x:v>
      </x:c>
      <x:c r="AF178" s="55" t="n">
        <x:v>1</x:v>
      </x:c>
      <x:c r="AG178" s="53" t="str">
        <x:v>NBS China Statistical Yearbook 2025, Table 12-15</x:v>
      </x:c>
      <x:c r="AH178" s="53" t="str">
        <x:v>calibrated reconstruction; not historical author input</x:v>
      </x:c>
    </x:row>
    <x:row r="179" ht="32" hidden="0" customHeight="1">
      <x:c r="A179" s="48" t="str">
        <x:v>x_r23_s1_m2</x:v>
      </x:c>
      <x:c r="B179" s="48" t="str">
        <x:v>r23</x:v>
      </x:c>
      <x:c r="C179" s="48" t="str">
        <x:v>CN-SC</x:v>
      </x:c>
      <x:c r="D179" s="48" t="str">
        <x:v>Sichuan</x:v>
      </x:c>
      <x:c r="E179" s="48" t="str">
        <x:v>四川</x:v>
      </x:c>
      <x:c r="F179" s="48" t="n">
        <x:v>1</x:v>
      </x:c>
      <x:c r="G179" s="48" t="str">
        <x:v>marine_capture</x:v>
      </x:c>
      <x:c r="H179" s="48" t="str">
        <x:v>海洋捕捞</x:v>
      </x:c>
      <x:c r="I179" s="48" t="n">
        <x:v>2</x:v>
      </x:c>
      <x:c r="J179" s="48" t="str">
        <x:v>deep_processing</x:v>
      </x:c>
      <x:c r="K179" s="48" t="str">
        <x:v>深加工</x:v>
      </x:c>
      <x:c r="L179" s="54" t="n">
        <x:v>0</x:v>
      </x:c>
      <x:c r="M179" s="54" t="n">
        <x:v>0</x:v>
      </x:c>
      <x:c r="N179" s="55" t="n">
        <x:v>0.38</x:v>
      </x:c>
      <x:c r="O179" s="54" t="n">
        <x:v>0</x:v>
      </x:c>
      <x:c r="P179" s="54" t="n">
        <x:v>0</x:v>
      </x:c>
      <x:c r="Q179" s="55" t="n">
        <x:v>0.0254434250764526</x:v>
      </x:c>
      <x:c r="R179" s="55" t="n">
        <x:v>0.43510878700319344</x:v>
      </x:c>
      <x:c r="S179" s="55" t="n">
        <x:v>0.8308321634312824</x:v>
      </x:c>
      <x:c r="T179" s="55" t="n">
        <x:v>1.2036125273124545</x:v>
      </x:c>
      <x:c r="U179" s="55" t="n">
        <x:v>0.39311963064445243</x:v>
      </x:c>
      <x:c r="V179" s="55" t="n">
        <x:v>0.8624081292744417</x:v>
      </x:c>
      <x:c r="W179" s="55" t="n">
        <x:v>0.8289131021476875</x:v>
      </x:c>
      <x:c r="X179" s="55" t="n">
        <x:v>0.9013260693556937</x:v>
      </x:c>
      <x:c r="Y179" s="54" t="n">
        <x:v>399348.72748089634</x:v>
      </x:c>
      <x:c r="Z179" s="54" t="n">
        <x:v>656089.8127544336</x:v>
      </x:c>
      <x:c r="AA179" s="54" t="n">
        <x:v>106456.79628890124</x:v>
      </x:c>
      <x:c r="AB179" s="55" t="n">
        <x:v>0.82</x:v>
      </x:c>
      <x:c r="AC179" s="55" t="n">
        <x:v>0.95</x:v>
      </x:c>
      <x:c r="AD179" s="55" t="n">
        <x:v>0.36</x:v>
      </x:c>
      <x:c r="AE179" s="55" t="n">
        <x:v>0.31</x:v>
      </x:c>
      <x:c r="AF179" s="55" t="n">
        <x:v>1</x:v>
      </x:c>
      <x:c r="AG179" s="53" t="str">
        <x:v>NBS China Statistical Yearbook 2025, Table 12-15</x:v>
      </x:c>
      <x:c r="AH179" s="53" t="str">
        <x:v>calibrated reconstruction; not historical author input</x:v>
      </x:c>
    </x:row>
    <x:row r="180" ht="32" hidden="0" customHeight="1">
      <x:c r="A180" s="48" t="str">
        <x:v>x_r23_s2_m1</x:v>
      </x:c>
      <x:c r="B180" s="48" t="str">
        <x:v>r23</x:v>
      </x:c>
      <x:c r="C180" s="48" t="str">
        <x:v>CN-SC</x:v>
      </x:c>
      <x:c r="D180" s="48" t="str">
        <x:v>Sichuan</x:v>
      </x:c>
      <x:c r="E180" s="48" t="str">
        <x:v>四川</x:v>
      </x:c>
      <x:c r="F180" s="48" t="n">
        <x:v>2</x:v>
      </x:c>
      <x:c r="G180" s="48" t="str">
        <x:v>freshwater_capture</x:v>
      </x:c>
      <x:c r="H180" s="48" t="str">
        <x:v>淡水捕捞</x:v>
      </x:c>
      <x:c r="I180" s="48" t="n">
        <x:v>1</x:v>
      </x:c>
      <x:c r="J180" s="48" t="str">
        <x:v>fresh_sales</x:v>
      </x:c>
      <x:c r="K180" s="48" t="str">
        <x:v>鲜销</x:v>
      </x:c>
      <x:c r="L180" s="54" t="n">
        <x:v>0</x:v>
      </x:c>
      <x:c r="M180" s="54" t="n">
        <x:v>0</x:v>
      </x:c>
      <x:c r="N180" s="55" t="n">
        <x:v>0.67</x:v>
      </x:c>
      <x:c r="O180" s="54" t="n">
        <x:v>0</x:v>
      </x:c>
      <x:c r="P180" s="54" t="n">
        <x:v>0</x:v>
      </x:c>
      <x:c r="Q180" s="55" t="n">
        <x:v>0.0254434250764526</x:v>
      </x:c>
      <x:c r="R180" s="55" t="n">
        <x:v>0.43510878700319344</x:v>
      </x:c>
      <x:c r="S180" s="55" t="n">
        <x:v>0.8308321634312824</x:v>
      </x:c>
      <x:c r="T180" s="55" t="n">
        <x:v>1.2036125273124545</x:v>
      </x:c>
      <x:c r="U180" s="55" t="n">
        <x:v>0.39311963064445243</x:v>
      </x:c>
      <x:c r="V180" s="55" t="n">
        <x:v>0.8624081292744417</x:v>
      </x:c>
      <x:c r="W180" s="55" t="n">
        <x:v>0.8289131021476875</x:v>
      </x:c>
      <x:c r="X180" s="55" t="n">
        <x:v>0.9013260693556937</x:v>
      </x:c>
      <x:c r="Y180" s="54" t="n">
        <x:v>399348.72748089634</x:v>
      </x:c>
      <x:c r="Z180" s="54" t="n">
        <x:v>656089.8127544336</x:v>
      </x:c>
      <x:c r="AA180" s="54" t="n">
        <x:v>106456.79628890124</x:v>
      </x:c>
      <x:c r="AB180" s="55" t="n">
        <x:v>0.7</x:v>
      </x:c>
      <x:c r="AC180" s="55" t="n">
        <x:v>0.67</x:v>
      </x:c>
      <x:c r="AD180" s="55" t="n">
        <x:v>0.26</x:v>
      </x:c>
      <x:c r="AE180" s="55" t="n">
        <x:v>0.42</x:v>
      </x:c>
      <x:c r="AF180" s="55" t="n">
        <x:v>0.7</x:v>
      </x:c>
      <x:c r="AG180" s="53" t="str">
        <x:v>NBS China Statistical Yearbook 2025, Table 12-15</x:v>
      </x:c>
      <x:c r="AH180" s="53" t="str">
        <x:v>calibrated reconstruction; not historical author input</x:v>
      </x:c>
    </x:row>
    <x:row r="181" ht="32" hidden="0" customHeight="1">
      <x:c r="A181" s="48" t="str">
        <x:v>x_r23_s2_m2</x:v>
      </x:c>
      <x:c r="B181" s="48" t="str">
        <x:v>r23</x:v>
      </x:c>
      <x:c r="C181" s="48" t="str">
        <x:v>CN-SC</x:v>
      </x:c>
      <x:c r="D181" s="48" t="str">
        <x:v>Sichuan</x:v>
      </x:c>
      <x:c r="E181" s="48" t="str">
        <x:v>四川</x:v>
      </x:c>
      <x:c r="F181" s="48" t="n">
        <x:v>2</x:v>
      </x:c>
      <x:c r="G181" s="48" t="str">
        <x:v>freshwater_capture</x:v>
      </x:c>
      <x:c r="H181" s="48" t="str">
        <x:v>淡水捕捞</x:v>
      </x:c>
      <x:c r="I181" s="48" t="n">
        <x:v>2</x:v>
      </x:c>
      <x:c r="J181" s="48" t="str">
        <x:v>deep_processing</x:v>
      </x:c>
      <x:c r="K181" s="48" t="str">
        <x:v>深加工</x:v>
      </x:c>
      <x:c r="L181" s="54" t="n">
        <x:v>0</x:v>
      </x:c>
      <x:c r="M181" s="54" t="n">
        <x:v>0</x:v>
      </x:c>
      <x:c r="N181" s="55" t="n">
        <x:v>0.33</x:v>
      </x:c>
      <x:c r="O181" s="54" t="n">
        <x:v>0</x:v>
      </x:c>
      <x:c r="P181" s="54" t="n">
        <x:v>0</x:v>
      </x:c>
      <x:c r="Q181" s="55" t="n">
        <x:v>0.0254434250764526</x:v>
      </x:c>
      <x:c r="R181" s="55" t="n">
        <x:v>0.43510878700319344</x:v>
      </x:c>
      <x:c r="S181" s="55" t="n">
        <x:v>0.8308321634312824</x:v>
      </x:c>
      <x:c r="T181" s="55" t="n">
        <x:v>1.2036125273124545</x:v>
      </x:c>
      <x:c r="U181" s="55" t="n">
        <x:v>0.39311963064445243</x:v>
      </x:c>
      <x:c r="V181" s="55" t="n">
        <x:v>0.8624081292744417</x:v>
      </x:c>
      <x:c r="W181" s="55" t="n">
        <x:v>0.8289131021476875</x:v>
      </x:c>
      <x:c r="X181" s="55" t="n">
        <x:v>0.9013260693556937</x:v>
      </x:c>
      <x:c r="Y181" s="54" t="n">
        <x:v>399348.72748089634</x:v>
      </x:c>
      <x:c r="Z181" s="54" t="n">
        <x:v>656089.8127544336</x:v>
      </x:c>
      <x:c r="AA181" s="54" t="n">
        <x:v>106456.79628890124</x:v>
      </x:c>
      <x:c r="AB181" s="55" t="n">
        <x:v>0.86</x:v>
      </x:c>
      <x:c r="AC181" s="55" t="n">
        <x:v>0.99</x:v>
      </x:c>
      <x:c r="AD181" s="55" t="n">
        <x:v>0.34</x:v>
      </x:c>
      <x:c r="AE181" s="55" t="n">
        <x:v>0.45</x:v>
      </x:c>
      <x:c r="AF181" s="55" t="n">
        <x:v>0.7</x:v>
      </x:c>
      <x:c r="AG181" s="53" t="str">
        <x:v>NBS China Statistical Yearbook 2025, Table 12-15</x:v>
      </x:c>
      <x:c r="AH181" s="53" t="str">
        <x:v>calibrated reconstruction; not historical author input</x:v>
      </x:c>
    </x:row>
    <x:row r="182" ht="32" hidden="0" customHeight="1">
      <x:c r="A182" s="48" t="str">
        <x:v>x_r23_s3_m1</x:v>
      </x:c>
      <x:c r="B182" s="48" t="str">
        <x:v>r23</x:v>
      </x:c>
      <x:c r="C182" s="48" t="str">
        <x:v>CN-SC</x:v>
      </x:c>
      <x:c r="D182" s="48" t="str">
        <x:v>Sichuan</x:v>
      </x:c>
      <x:c r="E182" s="48" t="str">
        <x:v>四川</x:v>
      </x:c>
      <x:c r="F182" s="48" t="n">
        <x:v>3</x:v>
      </x:c>
      <x:c r="G182" s="48" t="str">
        <x:v>marine_aquaculture</x:v>
      </x:c>
      <x:c r="H182" s="48" t="str">
        <x:v>海水养殖</x:v>
      </x:c>
      <x:c r="I182" s="48" t="n">
        <x:v>1</x:v>
      </x:c>
      <x:c r="J182" s="48" t="str">
        <x:v>fresh_sales</x:v>
      </x:c>
      <x:c r="K182" s="48" t="str">
        <x:v>鲜销</x:v>
      </x:c>
      <x:c r="L182" s="54" t="n">
        <x:v>0</x:v>
      </x:c>
      <x:c r="M182" s="54" t="n">
        <x:v>0</x:v>
      </x:c>
      <x:c r="N182" s="55" t="n">
        <x:v>0.74</x:v>
      </x:c>
      <x:c r="O182" s="54" t="n">
        <x:v>0</x:v>
      </x:c>
      <x:c r="P182" s="54" t="n">
        <x:v>0</x:v>
      </x:c>
      <x:c r="Q182" s="55" t="n">
        <x:v>0.0254434250764526</x:v>
      </x:c>
      <x:c r="R182" s="55" t="n">
        <x:v>0.43510878700319344</x:v>
      </x:c>
      <x:c r="S182" s="55" t="n">
        <x:v>0.8308321634312824</x:v>
      </x:c>
      <x:c r="T182" s="55" t="n">
        <x:v>1.2036125273124545</x:v>
      </x:c>
      <x:c r="U182" s="55" t="n">
        <x:v>0.39311963064445243</x:v>
      </x:c>
      <x:c r="V182" s="55" t="n">
        <x:v>0.8624081292744417</x:v>
      </x:c>
      <x:c r="W182" s="55" t="n">
        <x:v>0.8289131021476875</x:v>
      </x:c>
      <x:c r="X182" s="55" t="n">
        <x:v>0.9013260693556937</x:v>
      </x:c>
      <x:c r="Y182" s="54" t="n">
        <x:v>399348.72748089634</x:v>
      </x:c>
      <x:c r="Z182" s="54" t="n">
        <x:v>656089.8127544336</x:v>
      </x:c>
      <x:c r="AA182" s="54" t="n">
        <x:v>106456.79628890124</x:v>
      </x:c>
      <x:c r="AB182" s="55" t="n">
        <x:v>0.84</x:v>
      </x:c>
      <x:c r="AC182" s="55" t="n">
        <x:v>0.8</x:v>
      </x:c>
      <x:c r="AD182" s="55" t="n">
        <x:v>0.33</x:v>
      </x:c>
      <x:c r="AE182" s="55" t="n">
        <x:v>0.78</x:v>
      </x:c>
      <x:c r="AF182" s="55" t="n">
        <x:v>0.11</x:v>
      </x:c>
      <x:c r="AG182" s="53" t="str">
        <x:v>NBS China Statistical Yearbook 2025, Table 12-15</x:v>
      </x:c>
      <x:c r="AH182" s="53" t="str">
        <x:v>calibrated reconstruction; not historical author input</x:v>
      </x:c>
    </x:row>
    <x:row r="183" ht="32" hidden="0" customHeight="1">
      <x:c r="A183" s="48" t="str">
        <x:v>x_r23_s3_m2</x:v>
      </x:c>
      <x:c r="B183" s="48" t="str">
        <x:v>r23</x:v>
      </x:c>
      <x:c r="C183" s="48" t="str">
        <x:v>CN-SC</x:v>
      </x:c>
      <x:c r="D183" s="48" t="str">
        <x:v>Sichuan</x:v>
      </x:c>
      <x:c r="E183" s="48" t="str">
        <x:v>四川</x:v>
      </x:c>
      <x:c r="F183" s="48" t="n">
        <x:v>3</x:v>
      </x:c>
      <x:c r="G183" s="48" t="str">
        <x:v>marine_aquaculture</x:v>
      </x:c>
      <x:c r="H183" s="48" t="str">
        <x:v>海水养殖</x:v>
      </x:c>
      <x:c r="I183" s="48" t="n">
        <x:v>2</x:v>
      </x:c>
      <x:c r="J183" s="48" t="str">
        <x:v>deep_processing</x:v>
      </x:c>
      <x:c r="K183" s="48" t="str">
        <x:v>深加工</x:v>
      </x:c>
      <x:c r="L183" s="54" t="n">
        <x:v>0</x:v>
      </x:c>
      <x:c r="M183" s="54" t="n">
        <x:v>0</x:v>
      </x:c>
      <x:c r="N183" s="55" t="n">
        <x:v>0.26</x:v>
      </x:c>
      <x:c r="O183" s="54" t="n">
        <x:v>0</x:v>
      </x:c>
      <x:c r="P183" s="54" t="n">
        <x:v>0</x:v>
      </x:c>
      <x:c r="Q183" s="55" t="n">
        <x:v>0.0254434250764526</x:v>
      </x:c>
      <x:c r="R183" s="55" t="n">
        <x:v>0.43510878700319344</x:v>
      </x:c>
      <x:c r="S183" s="55" t="n">
        <x:v>0.8308321634312824</x:v>
      </x:c>
      <x:c r="T183" s="55" t="n">
        <x:v>1.2036125273124545</x:v>
      </x:c>
      <x:c r="U183" s="55" t="n">
        <x:v>0.39311963064445243</x:v>
      </x:c>
      <x:c r="V183" s="55" t="n">
        <x:v>0.8624081292744417</x:v>
      </x:c>
      <x:c r="W183" s="55" t="n">
        <x:v>0.8289131021476875</x:v>
      </x:c>
      <x:c r="X183" s="55" t="n">
        <x:v>0.9013260693556937</x:v>
      </x:c>
      <x:c r="Y183" s="54" t="n">
        <x:v>399348.72748089634</x:v>
      </x:c>
      <x:c r="Z183" s="54" t="n">
        <x:v>656089.8127544336</x:v>
      </x:c>
      <x:c r="AA183" s="54" t="n">
        <x:v>106456.79628890124</x:v>
      </x:c>
      <x:c r="AB183" s="55" t="n">
        <x:v>1.02</x:v>
      </x:c>
      <x:c r="AC183" s="55" t="n">
        <x:v>1.16</x:v>
      </x:c>
      <x:c r="AD183" s="55" t="n">
        <x:v>0.41</x:v>
      </x:c>
      <x:c r="AE183" s="55" t="n">
        <x:v>0.81</x:v>
      </x:c>
      <x:c r="AF183" s="55" t="n">
        <x:v>0.11</x:v>
      </x:c>
      <x:c r="AG183" s="53" t="str">
        <x:v>NBS China Statistical Yearbook 2025, Table 12-15</x:v>
      </x:c>
      <x:c r="AH183" s="53" t="str">
        <x:v>calibrated reconstruction; not historical author input</x:v>
      </x:c>
    </x:row>
    <x:row r="184" ht="32" hidden="0" customHeight="1">
      <x:c r="A184" s="48" t="str">
        <x:v>x_r23_s4_m1</x:v>
      </x:c>
      <x:c r="B184" s="48" t="str">
        <x:v>r23</x:v>
      </x:c>
      <x:c r="C184" s="48" t="str">
        <x:v>CN-SC</x:v>
      </x:c>
      <x:c r="D184" s="48" t="str">
        <x:v>Sichuan</x:v>
      </x:c>
      <x:c r="E184" s="48" t="str">
        <x:v>四川</x:v>
      </x:c>
      <x:c r="F184" s="48" t="n">
        <x:v>4</x:v>
      </x:c>
      <x:c r="G184" s="48" t="str">
        <x:v>freshwater_aquaculture</x:v>
      </x:c>
      <x:c r="H184" s="48" t="str">
        <x:v>淡水养殖</x:v>
      </x:c>
      <x:c r="I184" s="48" t="n">
        <x:v>1</x:v>
      </x:c>
      <x:c r="J184" s="48" t="str">
        <x:v>fresh_sales</x:v>
      </x:c>
      <x:c r="K184" s="48" t="str">
        <x:v>鲜销</x:v>
      </x:c>
      <x:c r="L184" s="54" t="n">
        <x:v>1872000</x:v>
      </x:c>
      <x:c r="M184" s="54" t="n">
        <x:v>1810597.7893577982</x:v>
      </x:c>
      <x:c r="N184" s="55" t="n">
        <x:v>0.78</x:v>
      </x:c>
      <x:c r="O184" s="54" t="n">
        <x:v>1412266.2756990825</x:v>
      </x:c>
      <x:c r="P184" s="54" t="n">
        <x:v>1694719.530838899</x:v>
      </x:c>
      <x:c r="Q184" s="55" t="n">
        <x:v>0.0254434250764526</x:v>
      </x:c>
      <x:c r="R184" s="55" t="n">
        <x:v>0.43510878700319344</x:v>
      </x:c>
      <x:c r="S184" s="55" t="n">
        <x:v>0.8308321634312824</x:v>
      </x:c>
      <x:c r="T184" s="55" t="n">
        <x:v>1.2036125273124545</x:v>
      </x:c>
      <x:c r="U184" s="55" t="n">
        <x:v>0.39311963064445243</x:v>
      </x:c>
      <x:c r="V184" s="55" t="n">
        <x:v>0.8624081292744417</x:v>
      </x:c>
      <x:c r="W184" s="55" t="n">
        <x:v>0.8289131021476875</x:v>
      </x:c>
      <x:c r="X184" s="55" t="n">
        <x:v>0.9013260693556937</x:v>
      </x:c>
      <x:c r="Y184" s="54" t="n">
        <x:v>399348.72748089634</x:v>
      </x:c>
      <x:c r="Z184" s="54" t="n">
        <x:v>656089.8127544336</x:v>
      </x:c>
      <x:c r="AA184" s="54" t="n">
        <x:v>106456.79628890124</x:v>
      </x:c>
      <x:c r="AB184" s="55" t="n">
        <x:v>0.88</x:v>
      </x:c>
      <x:c r="AC184" s="55" t="n">
        <x:v>0.84</x:v>
      </x:c>
      <x:c r="AD184" s="55" t="n">
        <x:v>0.31</x:v>
      </x:c>
      <x:c r="AE184" s="55" t="n">
        <x:v>0.88</x:v>
      </x:c>
      <x:c r="AF184" s="55" t="n">
        <x:v>0.08</x:v>
      </x:c>
      <x:c r="AG184" s="53" t="str">
        <x:v>NBS China Statistical Yearbook 2025, Table 12-15</x:v>
      </x:c>
      <x:c r="AH184" s="53" t="str">
        <x:v>calibrated reconstruction; not historical author input</x:v>
      </x:c>
    </x:row>
    <x:row r="185" ht="32" hidden="0" customHeight="1">
      <x:c r="A185" s="48" t="str">
        <x:v>x_r23_s4_m2</x:v>
      </x:c>
      <x:c r="B185" s="48" t="str">
        <x:v>r23</x:v>
      </x:c>
      <x:c r="C185" s="48" t="str">
        <x:v>CN-SC</x:v>
      </x:c>
      <x:c r="D185" s="48" t="str">
        <x:v>Sichuan</x:v>
      </x:c>
      <x:c r="E185" s="48" t="str">
        <x:v>四川</x:v>
      </x:c>
      <x:c r="F185" s="48" t="n">
        <x:v>4</x:v>
      </x:c>
      <x:c r="G185" s="48" t="str">
        <x:v>freshwater_aquaculture</x:v>
      </x:c>
      <x:c r="H185" s="48" t="str">
        <x:v>淡水养殖</x:v>
      </x:c>
      <x:c r="I185" s="48" t="n">
        <x:v>2</x:v>
      </x:c>
      <x:c r="J185" s="48" t="str">
        <x:v>deep_processing</x:v>
      </x:c>
      <x:c r="K185" s="48" t="str">
        <x:v>深加工</x:v>
      </x:c>
      <x:c r="L185" s="54" t="n">
        <x:v>1872000</x:v>
      </x:c>
      <x:c r="M185" s="54" t="n">
        <x:v>1810597.7893577982</x:v>
      </x:c>
      <x:c r="N185" s="55" t="n">
        <x:v>0.22</x:v>
      </x:c>
      <x:c r="O185" s="54" t="n">
        <x:v>398331.5136587156</x:v>
      </x:c>
      <x:c r="P185" s="54" t="n">
        <x:v>477997.81639045867</x:v>
      </x:c>
      <x:c r="Q185" s="55" t="n">
        <x:v>0.0254434250764526</x:v>
      </x:c>
      <x:c r="R185" s="55" t="n">
        <x:v>0.43510878700319344</x:v>
      </x:c>
      <x:c r="S185" s="55" t="n">
        <x:v>0.8308321634312824</x:v>
      </x:c>
      <x:c r="T185" s="55" t="n">
        <x:v>1.2036125273124545</x:v>
      </x:c>
      <x:c r="U185" s="55" t="n">
        <x:v>0.39311963064445243</x:v>
      </x:c>
      <x:c r="V185" s="55" t="n">
        <x:v>0.8624081292744417</x:v>
      </x:c>
      <x:c r="W185" s="55" t="n">
        <x:v>0.8289131021476875</x:v>
      </x:c>
      <x:c r="X185" s="55" t="n">
        <x:v>0.9013260693556937</x:v>
      </x:c>
      <x:c r="Y185" s="54" t="n">
        <x:v>399348.72748089634</x:v>
      </x:c>
      <x:c r="Z185" s="54" t="n">
        <x:v>656089.8127544336</x:v>
      </x:c>
      <x:c r="AA185" s="54" t="n">
        <x:v>106456.79628890124</x:v>
      </x:c>
      <x:c r="AB185" s="55" t="n">
        <x:v>1.06</x:v>
      </x:c>
      <x:c r="AC185" s="55" t="n">
        <x:v>1.2</x:v>
      </x:c>
      <x:c r="AD185" s="55" t="n">
        <x:v>0.39</x:v>
      </x:c>
      <x:c r="AE185" s="55" t="n">
        <x:v>0.91</x:v>
      </x:c>
      <x:c r="AF185" s="55" t="n">
        <x:v>0.08</x:v>
      </x:c>
      <x:c r="AG185" s="53" t="str">
        <x:v>NBS China Statistical Yearbook 2025, Table 12-15</x:v>
      </x:c>
      <x:c r="AH185" s="53" t="str">
        <x:v>calibrated reconstruction; not historical author input</x:v>
      </x:c>
    </x:row>
    <x:row r="186" ht="32" hidden="0" customHeight="1">
      <x:c r="A186" s="48" t="str">
        <x:v>x_r24_s1_m1</x:v>
      </x:c>
      <x:c r="B186" s="48" t="str">
        <x:v>r24</x:v>
      </x:c>
      <x:c r="C186" s="48" t="str">
        <x:v>CN-GZ</x:v>
      </x:c>
      <x:c r="D186" s="48" t="str">
        <x:v>Guizhou</x:v>
      </x:c>
      <x:c r="E186" s="48" t="str">
        <x:v>贵州</x:v>
      </x:c>
      <x:c r="F186" s="48" t="n">
        <x:v>1</x:v>
      </x:c>
      <x:c r="G186" s="48" t="str">
        <x:v>marine_capture</x:v>
      </x:c>
      <x:c r="H186" s="48" t="str">
        <x:v>海洋捕捞</x:v>
      </x:c>
      <x:c r="I186" s="48" t="n">
        <x:v>1</x:v>
      </x:c>
      <x:c r="J186" s="48" t="str">
        <x:v>fresh_sales</x:v>
      </x:c>
      <x:c r="K186" s="48" t="str">
        <x:v>鲜销</x:v>
      </x:c>
      <x:c r="L186" s="54" t="n">
        <x:v>0</x:v>
      </x:c>
      <x:c r="M186" s="54" t="n">
        <x:v>0</x:v>
      </x:c>
      <x:c r="N186" s="55" t="n">
        <x:v>0.62</x:v>
      </x:c>
      <x:c r="O186" s="54" t="n">
        <x:v>0</x:v>
      </x:c>
      <x:c r="P186" s="54" t="n">
        <x:v>0</x:v>
      </x:c>
      <x:c r="Q186" s="55" t="n">
        <x:v>0.004009514101257221</x:v>
      </x:c>
      <x:c r="R186" s="55" t="n">
        <x:v>0.44410507867319804</x:v>
      </x:c>
      <x:c r="S186" s="55" t="n">
        <x:v>0.6913152926368785</x:v>
      </x:c>
      <x:c r="T186" s="55" t="n">
        <x:v>1.4465179790623577</x:v>
      </x:c>
      <x:c r="U186" s="55" t="n">
        <x:v>0.560461594127253</x:v>
      </x:c>
      <x:c r="V186" s="55" t="n">
        <x:v>0.8038384420554614</x:v>
      </x:c>
      <x:c r="W186" s="55" t="n">
        <x:v>0.6944685446513305</x:v>
      </x:c>
      <x:c r="X186" s="55" t="n">
        <x:v>0.9416594366046007</x:v>
      </x:c>
      <x:c r="Y186" s="54" t="n">
        <x:v>116084.62533507406</x:v>
      </x:c>
      <x:c r="Z186" s="54" t="n">
        <x:v>94950.96744433834</x:v>
      </x:c>
      <x:c r="AA186" s="54" t="n">
        <x:v>21325.480025821562</x:v>
      </x:c>
      <x:c r="AB186" s="55" t="n">
        <x:v>0.65</x:v>
      </x:c>
      <x:c r="AC186" s="55" t="n">
        <x:v>0.62</x:v>
      </x:c>
      <x:c r="AD186" s="55" t="n">
        <x:v>0.29</x:v>
      </x:c>
      <x:c r="AE186" s="55" t="n">
        <x:v>0.28</x:v>
      </x:c>
      <x:c r="AF186" s="55" t="n">
        <x:v>1</x:v>
      </x:c>
      <x:c r="AG186" s="53" t="str">
        <x:v>NBS China Statistical Yearbook 2025, Table 12-15</x:v>
      </x:c>
      <x:c r="AH186" s="53" t="str">
        <x:v>calibrated reconstruction; not historical author input</x:v>
      </x:c>
    </x:row>
    <x:row r="187" ht="32" hidden="0" customHeight="1">
      <x:c r="A187" s="48" t="str">
        <x:v>x_r24_s1_m2</x:v>
      </x:c>
      <x:c r="B187" s="48" t="str">
        <x:v>r24</x:v>
      </x:c>
      <x:c r="C187" s="48" t="str">
        <x:v>CN-GZ</x:v>
      </x:c>
      <x:c r="D187" s="48" t="str">
        <x:v>Guizhou</x:v>
      </x:c>
      <x:c r="E187" s="48" t="str">
        <x:v>贵州</x:v>
      </x:c>
      <x:c r="F187" s="48" t="n">
        <x:v>1</x:v>
      </x:c>
      <x:c r="G187" s="48" t="str">
        <x:v>marine_capture</x:v>
      </x:c>
      <x:c r="H187" s="48" t="str">
        <x:v>海洋捕捞</x:v>
      </x:c>
      <x:c r="I187" s="48" t="n">
        <x:v>2</x:v>
      </x:c>
      <x:c r="J187" s="48" t="str">
        <x:v>deep_processing</x:v>
      </x:c>
      <x:c r="K187" s="48" t="str">
        <x:v>深加工</x:v>
      </x:c>
      <x:c r="L187" s="54" t="n">
        <x:v>0</x:v>
      </x:c>
      <x:c r="M187" s="54" t="n">
        <x:v>0</x:v>
      </x:c>
      <x:c r="N187" s="55" t="n">
        <x:v>0.38</x:v>
      </x:c>
      <x:c r="O187" s="54" t="n">
        <x:v>0</x:v>
      </x:c>
      <x:c r="P187" s="54" t="n">
        <x:v>0</x:v>
      </x:c>
      <x:c r="Q187" s="55" t="n">
        <x:v>0.004009514101257221</x:v>
      </x:c>
      <x:c r="R187" s="55" t="n">
        <x:v>0.44410507867319804</x:v>
      </x:c>
      <x:c r="S187" s="55" t="n">
        <x:v>0.6913152926368785</x:v>
      </x:c>
      <x:c r="T187" s="55" t="n">
        <x:v>1.4465179790623577</x:v>
      </x:c>
      <x:c r="U187" s="55" t="n">
        <x:v>0.560461594127253</x:v>
      </x:c>
      <x:c r="V187" s="55" t="n">
        <x:v>0.8038384420554614</x:v>
      </x:c>
      <x:c r="W187" s="55" t="n">
        <x:v>0.6944685446513305</x:v>
      </x:c>
      <x:c r="X187" s="55" t="n">
        <x:v>0.9416594366046007</x:v>
      </x:c>
      <x:c r="Y187" s="54" t="n">
        <x:v>116084.62533507406</x:v>
      </x:c>
      <x:c r="Z187" s="54" t="n">
        <x:v>94950.96744433834</x:v>
      </x:c>
      <x:c r="AA187" s="54" t="n">
        <x:v>21325.480025821562</x:v>
      </x:c>
      <x:c r="AB187" s="55" t="n">
        <x:v>0.82</x:v>
      </x:c>
      <x:c r="AC187" s="55" t="n">
        <x:v>0.95</x:v>
      </x:c>
      <x:c r="AD187" s="55" t="n">
        <x:v>0.36</x:v>
      </x:c>
      <x:c r="AE187" s="55" t="n">
        <x:v>0.31</x:v>
      </x:c>
      <x:c r="AF187" s="55" t="n">
        <x:v>1</x:v>
      </x:c>
      <x:c r="AG187" s="53" t="str">
        <x:v>NBS China Statistical Yearbook 2025, Table 12-15</x:v>
      </x:c>
      <x:c r="AH187" s="53" t="str">
        <x:v>calibrated reconstruction; not historical author input</x:v>
      </x:c>
    </x:row>
    <x:row r="188" ht="32" hidden="0" customHeight="1">
      <x:c r="A188" s="48" t="str">
        <x:v>x_r24_s2_m1</x:v>
      </x:c>
      <x:c r="B188" s="48" t="str">
        <x:v>r24</x:v>
      </x:c>
      <x:c r="C188" s="48" t="str">
        <x:v>CN-GZ</x:v>
      </x:c>
      <x:c r="D188" s="48" t="str">
        <x:v>Guizhou</x:v>
      </x:c>
      <x:c r="E188" s="48" t="str">
        <x:v>贵州</x:v>
      </x:c>
      <x:c r="F188" s="48" t="n">
        <x:v>2</x:v>
      </x:c>
      <x:c r="G188" s="48" t="str">
        <x:v>freshwater_capture</x:v>
      </x:c>
      <x:c r="H188" s="48" t="str">
        <x:v>淡水捕捞</x:v>
      </x:c>
      <x:c r="I188" s="48" t="n">
        <x:v>1</x:v>
      </x:c>
      <x:c r="J188" s="48" t="str">
        <x:v>fresh_sales</x:v>
      </x:c>
      <x:c r="K188" s="48" t="str">
        <x:v>鲜销</x:v>
      </x:c>
      <x:c r="L188" s="54" t="n">
        <x:v>4000</x:v>
      </x:c>
      <x:c r="M188" s="54" t="n">
        <x:v>3868.7986952089705</x:v>
      </x:c>
      <x:c r="N188" s="55" t="n">
        <x:v>0.67</x:v>
      </x:c>
      <x:c r="O188" s="54" t="n">
        <x:v>2592.0951257900106</x:v>
      </x:c>
      <x:c r="P188" s="54" t="n">
        <x:v>3110.5141509480127</x:v>
      </x:c>
      <x:c r="Q188" s="55" t="n">
        <x:v>0.004009514101257221</x:v>
      </x:c>
      <x:c r="R188" s="55" t="n">
        <x:v>0.44410507867319804</x:v>
      </x:c>
      <x:c r="S188" s="55" t="n">
        <x:v>0.6913152926368785</x:v>
      </x:c>
      <x:c r="T188" s="55" t="n">
        <x:v>1.4465179790623577</x:v>
      </x:c>
      <x:c r="U188" s="55" t="n">
        <x:v>0.560461594127253</x:v>
      </x:c>
      <x:c r="V188" s="55" t="n">
        <x:v>0.8038384420554614</x:v>
      </x:c>
      <x:c r="W188" s="55" t="n">
        <x:v>0.6944685446513305</x:v>
      </x:c>
      <x:c r="X188" s="55" t="n">
        <x:v>0.9416594366046007</x:v>
      </x:c>
      <x:c r="Y188" s="54" t="n">
        <x:v>116084.62533507406</x:v>
      </x:c>
      <x:c r="Z188" s="54" t="n">
        <x:v>94950.96744433834</x:v>
      </x:c>
      <x:c r="AA188" s="54" t="n">
        <x:v>21325.480025821562</x:v>
      </x:c>
      <x:c r="AB188" s="55" t="n">
        <x:v>0.7</x:v>
      </x:c>
      <x:c r="AC188" s="55" t="n">
        <x:v>0.67</x:v>
      </x:c>
      <x:c r="AD188" s="55" t="n">
        <x:v>0.26</x:v>
      </x:c>
      <x:c r="AE188" s="55" t="n">
        <x:v>0.42</x:v>
      </x:c>
      <x:c r="AF188" s="55" t="n">
        <x:v>0.7</x:v>
      </x:c>
      <x:c r="AG188" s="53" t="str">
        <x:v>NBS China Statistical Yearbook 2025, Table 12-15</x:v>
      </x:c>
      <x:c r="AH188" s="53" t="str">
        <x:v>calibrated reconstruction; not historical author input</x:v>
      </x:c>
    </x:row>
    <x:row r="189" ht="32" hidden="0" customHeight="1">
      <x:c r="A189" s="48" t="str">
        <x:v>x_r24_s2_m2</x:v>
      </x:c>
      <x:c r="B189" s="48" t="str">
        <x:v>r24</x:v>
      </x:c>
      <x:c r="C189" s="48" t="str">
        <x:v>CN-GZ</x:v>
      </x:c>
      <x:c r="D189" s="48" t="str">
        <x:v>Guizhou</x:v>
      </x:c>
      <x:c r="E189" s="48" t="str">
        <x:v>贵州</x:v>
      </x:c>
      <x:c r="F189" s="48" t="n">
        <x:v>2</x:v>
      </x:c>
      <x:c r="G189" s="48" t="str">
        <x:v>freshwater_capture</x:v>
      </x:c>
      <x:c r="H189" s="48" t="str">
        <x:v>淡水捕捞</x:v>
      </x:c>
      <x:c r="I189" s="48" t="n">
        <x:v>2</x:v>
      </x:c>
      <x:c r="J189" s="48" t="str">
        <x:v>deep_processing</x:v>
      </x:c>
      <x:c r="K189" s="48" t="str">
        <x:v>深加工</x:v>
      </x:c>
      <x:c r="L189" s="54" t="n">
        <x:v>4000</x:v>
      </x:c>
      <x:c r="M189" s="54" t="n">
        <x:v>3868.7986952089705</x:v>
      </x:c>
      <x:c r="N189" s="55" t="n">
        <x:v>0.33</x:v>
      </x:c>
      <x:c r="O189" s="54" t="n">
        <x:v>1276.7035694189603</x:v>
      </x:c>
      <x:c r="P189" s="54" t="n">
        <x:v>1532.0442833027523</x:v>
      </x:c>
      <x:c r="Q189" s="55" t="n">
        <x:v>0.004009514101257221</x:v>
      </x:c>
      <x:c r="R189" s="55" t="n">
        <x:v>0.44410507867319804</x:v>
      </x:c>
      <x:c r="S189" s="55" t="n">
        <x:v>0.6913152926368785</x:v>
      </x:c>
      <x:c r="T189" s="55" t="n">
        <x:v>1.4465179790623577</x:v>
      </x:c>
      <x:c r="U189" s="55" t="n">
        <x:v>0.560461594127253</x:v>
      </x:c>
      <x:c r="V189" s="55" t="n">
        <x:v>0.8038384420554614</x:v>
      </x:c>
      <x:c r="W189" s="55" t="n">
        <x:v>0.6944685446513305</x:v>
      </x:c>
      <x:c r="X189" s="55" t="n">
        <x:v>0.9416594366046007</x:v>
      </x:c>
      <x:c r="Y189" s="54" t="n">
        <x:v>116084.62533507406</x:v>
      </x:c>
      <x:c r="Z189" s="54" t="n">
        <x:v>94950.96744433834</x:v>
      </x:c>
      <x:c r="AA189" s="54" t="n">
        <x:v>21325.480025821562</x:v>
      </x:c>
      <x:c r="AB189" s="55" t="n">
        <x:v>0.86</x:v>
      </x:c>
      <x:c r="AC189" s="55" t="n">
        <x:v>0.99</x:v>
      </x:c>
      <x:c r="AD189" s="55" t="n">
        <x:v>0.34</x:v>
      </x:c>
      <x:c r="AE189" s="55" t="n">
        <x:v>0.45</x:v>
      </x:c>
      <x:c r="AF189" s="55" t="n">
        <x:v>0.7</x:v>
      </x:c>
      <x:c r="AG189" s="53" t="str">
        <x:v>NBS China Statistical Yearbook 2025, Table 12-15</x:v>
      </x:c>
      <x:c r="AH189" s="53" t="str">
        <x:v>calibrated reconstruction; not historical author input</x:v>
      </x:c>
    </x:row>
    <x:row r="190" ht="32" hidden="0" customHeight="1">
      <x:c r="A190" s="48" t="str">
        <x:v>x_r24_s3_m1</x:v>
      </x:c>
      <x:c r="B190" s="48" t="str">
        <x:v>r24</x:v>
      </x:c>
      <x:c r="C190" s="48" t="str">
        <x:v>CN-GZ</x:v>
      </x:c>
      <x:c r="D190" s="48" t="str">
        <x:v>Guizhou</x:v>
      </x:c>
      <x:c r="E190" s="48" t="str">
        <x:v>贵州</x:v>
      </x:c>
      <x:c r="F190" s="48" t="n">
        <x:v>3</x:v>
      </x:c>
      <x:c r="G190" s="48" t="str">
        <x:v>marine_aquaculture</x:v>
      </x:c>
      <x:c r="H190" s="48" t="str">
        <x:v>海水养殖</x:v>
      </x:c>
      <x:c r="I190" s="48" t="n">
        <x:v>1</x:v>
      </x:c>
      <x:c r="J190" s="48" t="str">
        <x:v>fresh_sales</x:v>
      </x:c>
      <x:c r="K190" s="48" t="str">
        <x:v>鲜销</x:v>
      </x:c>
      <x:c r="L190" s="54" t="n">
        <x:v>0</x:v>
      </x:c>
      <x:c r="M190" s="54" t="n">
        <x:v>0</x:v>
      </x:c>
      <x:c r="N190" s="55" t="n">
        <x:v>0.74</x:v>
      </x:c>
      <x:c r="O190" s="54" t="n">
        <x:v>0</x:v>
      </x:c>
      <x:c r="P190" s="54" t="n">
        <x:v>0</x:v>
      </x:c>
      <x:c r="Q190" s="55" t="n">
        <x:v>0.004009514101257221</x:v>
      </x:c>
      <x:c r="R190" s="55" t="n">
        <x:v>0.44410507867319804</x:v>
      </x:c>
      <x:c r="S190" s="55" t="n">
        <x:v>0.6913152926368785</x:v>
      </x:c>
      <x:c r="T190" s="55" t="n">
        <x:v>1.4465179790623577</x:v>
      </x:c>
      <x:c r="U190" s="55" t="n">
        <x:v>0.560461594127253</x:v>
      </x:c>
      <x:c r="V190" s="55" t="n">
        <x:v>0.8038384420554614</x:v>
      </x:c>
      <x:c r="W190" s="55" t="n">
        <x:v>0.6944685446513305</x:v>
      </x:c>
      <x:c r="X190" s="55" t="n">
        <x:v>0.9416594366046007</x:v>
      </x:c>
      <x:c r="Y190" s="54" t="n">
        <x:v>116084.62533507406</x:v>
      </x:c>
      <x:c r="Z190" s="54" t="n">
        <x:v>94950.96744433834</x:v>
      </x:c>
      <x:c r="AA190" s="54" t="n">
        <x:v>21325.480025821562</x:v>
      </x:c>
      <x:c r="AB190" s="55" t="n">
        <x:v>0.84</x:v>
      </x:c>
      <x:c r="AC190" s="55" t="n">
        <x:v>0.8</x:v>
      </x:c>
      <x:c r="AD190" s="55" t="n">
        <x:v>0.33</x:v>
      </x:c>
      <x:c r="AE190" s="55" t="n">
        <x:v>0.78</x:v>
      </x:c>
      <x:c r="AF190" s="55" t="n">
        <x:v>0.11</x:v>
      </x:c>
      <x:c r="AG190" s="53" t="str">
        <x:v>NBS China Statistical Yearbook 2025, Table 12-15</x:v>
      </x:c>
      <x:c r="AH190" s="53" t="str">
        <x:v>calibrated reconstruction; not historical author input</x:v>
      </x:c>
    </x:row>
    <x:row r="191" ht="32" hidden="0" customHeight="1">
      <x:c r="A191" s="48" t="str">
        <x:v>x_r24_s3_m2</x:v>
      </x:c>
      <x:c r="B191" s="48" t="str">
        <x:v>r24</x:v>
      </x:c>
      <x:c r="C191" s="48" t="str">
        <x:v>CN-GZ</x:v>
      </x:c>
      <x:c r="D191" s="48" t="str">
        <x:v>Guizhou</x:v>
      </x:c>
      <x:c r="E191" s="48" t="str">
        <x:v>贵州</x:v>
      </x:c>
      <x:c r="F191" s="48" t="n">
        <x:v>3</x:v>
      </x:c>
      <x:c r="G191" s="48" t="str">
        <x:v>marine_aquaculture</x:v>
      </x:c>
      <x:c r="H191" s="48" t="str">
        <x:v>海水养殖</x:v>
      </x:c>
      <x:c r="I191" s="48" t="n">
        <x:v>2</x:v>
      </x:c>
      <x:c r="J191" s="48" t="str">
        <x:v>deep_processing</x:v>
      </x:c>
      <x:c r="K191" s="48" t="str">
        <x:v>深加工</x:v>
      </x:c>
      <x:c r="L191" s="54" t="n">
        <x:v>0</x:v>
      </x:c>
      <x:c r="M191" s="54" t="n">
        <x:v>0</x:v>
      </x:c>
      <x:c r="N191" s="55" t="n">
        <x:v>0.26</x:v>
      </x:c>
      <x:c r="O191" s="54" t="n">
        <x:v>0</x:v>
      </x:c>
      <x:c r="P191" s="54" t="n">
        <x:v>0</x:v>
      </x:c>
      <x:c r="Q191" s="55" t="n">
        <x:v>0.004009514101257221</x:v>
      </x:c>
      <x:c r="R191" s="55" t="n">
        <x:v>0.44410507867319804</x:v>
      </x:c>
      <x:c r="S191" s="55" t="n">
        <x:v>0.6913152926368785</x:v>
      </x:c>
      <x:c r="T191" s="55" t="n">
        <x:v>1.4465179790623577</x:v>
      </x:c>
      <x:c r="U191" s="55" t="n">
        <x:v>0.560461594127253</x:v>
      </x:c>
      <x:c r="V191" s="55" t="n">
        <x:v>0.8038384420554614</x:v>
      </x:c>
      <x:c r="W191" s="55" t="n">
        <x:v>0.6944685446513305</x:v>
      </x:c>
      <x:c r="X191" s="55" t="n">
        <x:v>0.9416594366046007</x:v>
      </x:c>
      <x:c r="Y191" s="54" t="n">
        <x:v>116084.62533507406</x:v>
      </x:c>
      <x:c r="Z191" s="54" t="n">
        <x:v>94950.96744433834</x:v>
      </x:c>
      <x:c r="AA191" s="54" t="n">
        <x:v>21325.480025821562</x:v>
      </x:c>
      <x:c r="AB191" s="55" t="n">
        <x:v>1.02</x:v>
      </x:c>
      <x:c r="AC191" s="55" t="n">
        <x:v>1.16</x:v>
      </x:c>
      <x:c r="AD191" s="55" t="n">
        <x:v>0.41</x:v>
      </x:c>
      <x:c r="AE191" s="55" t="n">
        <x:v>0.81</x:v>
      </x:c>
      <x:c r="AF191" s="55" t="n">
        <x:v>0.11</x:v>
      </x:c>
      <x:c r="AG191" s="53" t="str">
        <x:v>NBS China Statistical Yearbook 2025, Table 12-15</x:v>
      </x:c>
      <x:c r="AH191" s="53" t="str">
        <x:v>calibrated reconstruction; not historical author input</x:v>
      </x:c>
    </x:row>
    <x:row r="192" ht="32" hidden="0" customHeight="1">
      <x:c r="A192" s="48" t="str">
        <x:v>x_r24_s4_m1</x:v>
      </x:c>
      <x:c r="B192" s="48" t="str">
        <x:v>r24</x:v>
      </x:c>
      <x:c r="C192" s="48" t="str">
        <x:v>CN-GZ</x:v>
      </x:c>
      <x:c r="D192" s="48" t="str">
        <x:v>Guizhou</x:v>
      </x:c>
      <x:c r="E192" s="48" t="str">
        <x:v>贵州</x:v>
      </x:c>
      <x:c r="F192" s="48" t="n">
        <x:v>4</x:v>
      </x:c>
      <x:c r="G192" s="48" t="str">
        <x:v>freshwater_aquaculture</x:v>
      </x:c>
      <x:c r="H192" s="48" t="str">
        <x:v>淡水养殖</x:v>
      </x:c>
      <x:c r="I192" s="48" t="n">
        <x:v>1</x:v>
      </x:c>
      <x:c r="J192" s="48" t="str">
        <x:v>fresh_sales</x:v>
      </x:c>
      <x:c r="K192" s="48" t="str">
        <x:v>鲜销</x:v>
      </x:c>
      <x:c r="L192" s="54" t="n">
        <x:v>291000</x:v>
      </x:c>
      <x:c r="M192" s="54" t="n">
        <x:v>281455.1050764526</x:v>
      </x:c>
      <x:c r="N192" s="55" t="n">
        <x:v>0.78</x:v>
      </x:c>
      <x:c r="O192" s="54" t="n">
        <x:v>219534.98195963303</x:v>
      </x:c>
      <x:c r="P192" s="54" t="n">
        <x:v>263441.9783515596</x:v>
      </x:c>
      <x:c r="Q192" s="55" t="n">
        <x:v>0.004009514101257221</x:v>
      </x:c>
      <x:c r="R192" s="55" t="n">
        <x:v>0.44410507867319804</x:v>
      </x:c>
      <x:c r="S192" s="55" t="n">
        <x:v>0.6913152926368785</x:v>
      </x:c>
      <x:c r="T192" s="55" t="n">
        <x:v>1.4465179790623577</x:v>
      </x:c>
      <x:c r="U192" s="55" t="n">
        <x:v>0.560461594127253</x:v>
      </x:c>
      <x:c r="V192" s="55" t="n">
        <x:v>0.8038384420554614</x:v>
      </x:c>
      <x:c r="W192" s="55" t="n">
        <x:v>0.6944685446513305</x:v>
      </x:c>
      <x:c r="X192" s="55" t="n">
        <x:v>0.9416594366046007</x:v>
      </x:c>
      <x:c r="Y192" s="54" t="n">
        <x:v>116084.62533507406</x:v>
      </x:c>
      <x:c r="Z192" s="54" t="n">
        <x:v>94950.96744433834</x:v>
      </x:c>
      <x:c r="AA192" s="54" t="n">
        <x:v>21325.480025821562</x:v>
      </x:c>
      <x:c r="AB192" s="55" t="n">
        <x:v>0.88</x:v>
      </x:c>
      <x:c r="AC192" s="55" t="n">
        <x:v>0.84</x:v>
      </x:c>
      <x:c r="AD192" s="55" t="n">
        <x:v>0.31</x:v>
      </x:c>
      <x:c r="AE192" s="55" t="n">
        <x:v>0.88</x:v>
      </x:c>
      <x:c r="AF192" s="55" t="n">
        <x:v>0.08</x:v>
      </x:c>
      <x:c r="AG192" s="53" t="str">
        <x:v>NBS China Statistical Yearbook 2025, Table 12-15</x:v>
      </x:c>
      <x:c r="AH192" s="53" t="str">
        <x:v>calibrated reconstruction; not historical author input</x:v>
      </x:c>
    </x:row>
    <x:row r="193" ht="32" hidden="0" customHeight="1">
      <x:c r="A193" s="48" t="str">
        <x:v>x_r24_s4_m2</x:v>
      </x:c>
      <x:c r="B193" s="48" t="str">
        <x:v>r24</x:v>
      </x:c>
      <x:c r="C193" s="48" t="str">
        <x:v>CN-GZ</x:v>
      </x:c>
      <x:c r="D193" s="48" t="str">
        <x:v>Guizhou</x:v>
      </x:c>
      <x:c r="E193" s="48" t="str">
        <x:v>贵州</x:v>
      </x:c>
      <x:c r="F193" s="48" t="n">
        <x:v>4</x:v>
      </x:c>
      <x:c r="G193" s="48" t="str">
        <x:v>freshwater_aquaculture</x:v>
      </x:c>
      <x:c r="H193" s="48" t="str">
        <x:v>淡水养殖</x:v>
      </x:c>
      <x:c r="I193" s="48" t="n">
        <x:v>2</x:v>
      </x:c>
      <x:c r="J193" s="48" t="str">
        <x:v>deep_processing</x:v>
      </x:c>
      <x:c r="K193" s="48" t="str">
        <x:v>深加工</x:v>
      </x:c>
      <x:c r="L193" s="54" t="n">
        <x:v>291000</x:v>
      </x:c>
      <x:c r="M193" s="54" t="n">
        <x:v>281455.1050764526</x:v>
      </x:c>
      <x:c r="N193" s="55" t="n">
        <x:v>0.22</x:v>
      </x:c>
      <x:c r="O193" s="54" t="n">
        <x:v>61920.12311681957</x:v>
      </x:c>
      <x:c r="P193" s="54" t="n">
        <x:v>74304.14774018349</x:v>
      </x:c>
      <x:c r="Q193" s="55" t="n">
        <x:v>0.004009514101257221</x:v>
      </x:c>
      <x:c r="R193" s="55" t="n">
        <x:v>0.44410507867319804</x:v>
      </x:c>
      <x:c r="S193" s="55" t="n">
        <x:v>0.6913152926368785</x:v>
      </x:c>
      <x:c r="T193" s="55" t="n">
        <x:v>1.4465179790623577</x:v>
      </x:c>
      <x:c r="U193" s="55" t="n">
        <x:v>0.560461594127253</x:v>
      </x:c>
      <x:c r="V193" s="55" t="n">
        <x:v>0.8038384420554614</x:v>
      </x:c>
      <x:c r="W193" s="55" t="n">
        <x:v>0.6944685446513305</x:v>
      </x:c>
      <x:c r="X193" s="55" t="n">
        <x:v>0.9416594366046007</x:v>
      </x:c>
      <x:c r="Y193" s="54" t="n">
        <x:v>116084.62533507406</x:v>
      </x:c>
      <x:c r="Z193" s="54" t="n">
        <x:v>94950.96744433834</x:v>
      </x:c>
      <x:c r="AA193" s="54" t="n">
        <x:v>21325.480025821562</x:v>
      </x:c>
      <x:c r="AB193" s="55" t="n">
        <x:v>1.06</x:v>
      </x:c>
      <x:c r="AC193" s="55" t="n">
        <x:v>1.2</x:v>
      </x:c>
      <x:c r="AD193" s="55" t="n">
        <x:v>0.39</x:v>
      </x:c>
      <x:c r="AE193" s="55" t="n">
        <x:v>0.91</x:v>
      </x:c>
      <x:c r="AF193" s="55" t="n">
        <x:v>0.08</x:v>
      </x:c>
      <x:c r="AG193" s="53" t="str">
        <x:v>NBS China Statistical Yearbook 2025, Table 12-15</x:v>
      </x:c>
      <x:c r="AH193" s="53" t="str">
        <x:v>calibrated reconstruction; not historical author input</x:v>
      </x:c>
    </x:row>
    <x:row r="194" ht="32" hidden="0" customHeight="1">
      <x:c r="A194" s="48" t="str">
        <x:v>x_r25_s1_m1</x:v>
      </x:c>
      <x:c r="B194" s="48" t="str">
        <x:v>r25</x:v>
      </x:c>
      <x:c r="C194" s="48" t="str">
        <x:v>CN-YN</x:v>
      </x:c>
      <x:c r="D194" s="48" t="str">
        <x:v>Yunnan</x:v>
      </x:c>
      <x:c r="E194" s="48" t="str">
        <x:v>云南</x:v>
      </x:c>
      <x:c r="F194" s="48" t="n">
        <x:v>1</x:v>
      </x:c>
      <x:c r="G194" s="48" t="str">
        <x:v>marine_capture</x:v>
      </x:c>
      <x:c r="H194" s="48" t="str">
        <x:v>海洋捕捞</x:v>
      </x:c>
      <x:c r="I194" s="48" t="n">
        <x:v>1</x:v>
      </x:c>
      <x:c r="J194" s="48" t="str">
        <x:v>fresh_sales</x:v>
      </x:c>
      <x:c r="K194" s="48" t="str">
        <x:v>鲜销</x:v>
      </x:c>
      <x:c r="L194" s="54" t="n">
        <x:v>0</x:v>
      </x:c>
      <x:c r="M194" s="54" t="n">
        <x:v>0</x:v>
      </x:c>
      <x:c r="N194" s="55" t="n">
        <x:v>0.62</x:v>
      </x:c>
      <x:c r="O194" s="54" t="n">
        <x:v>0</x:v>
      </x:c>
      <x:c r="P194" s="54" t="n">
        <x:v>0</x:v>
      </x:c>
      <x:c r="Q194" s="55" t="n">
        <x:v>0.009785932721712538</x:v>
      </x:c>
      <x:c r="R194" s="55" t="n">
        <x:v>0.38145060048654467</x:v>
      </x:c>
      <x:c r="S194" s="55" t="n">
        <x:v>0.7245001694340901</x:v>
      </x:c>
      <x:c r="T194" s="55" t="n">
        <x:v>1.3802619270346117</x:v>
      </x:c>
      <x:c r="U194" s="55" t="n">
        <x:v>0.38101040013482257</x:v>
      </x:c>
      <x:c r="V194" s="55" t="n">
        <x:v>0.8666463599528121</x:v>
      </x:c>
      <x:c r="W194" s="55" t="n">
        <x:v>0.7559332439065971</x:v>
      </x:c>
      <x:c r="X194" s="55" t="n">
        <x:v>0.9232200268280208</x:v>
      </x:c>
      <x:c r="Y194" s="54" t="n">
        <x:v>183666.29791742834</x:v>
      </x:c>
      <x:c r="Z194" s="54" t="n">
        <x:v>241161.39821333138</x:v>
      </x:c>
      <x:c r="AA194" s="54" t="n">
        <x:v>72790.97182147093</x:v>
      </x:c>
      <x:c r="AB194" s="55" t="n">
        <x:v>0.65</x:v>
      </x:c>
      <x:c r="AC194" s="55" t="n">
        <x:v>0.62</x:v>
      </x:c>
      <x:c r="AD194" s="55" t="n">
        <x:v>0.29</x:v>
      </x:c>
      <x:c r="AE194" s="55" t="n">
        <x:v>0.28</x:v>
      </x:c>
      <x:c r="AF194" s="55" t="n">
        <x:v>1</x:v>
      </x:c>
      <x:c r="AG194" s="53" t="str">
        <x:v>NBS China Statistical Yearbook 2025, Table 12-15</x:v>
      </x:c>
      <x:c r="AH194" s="53" t="str">
        <x:v>calibrated reconstruction; not historical author input</x:v>
      </x:c>
    </x:row>
    <x:row r="195" ht="32" hidden="0" customHeight="1">
      <x:c r="A195" s="48" t="str">
        <x:v>x_r25_s1_m2</x:v>
      </x:c>
      <x:c r="B195" s="48" t="str">
        <x:v>r25</x:v>
      </x:c>
      <x:c r="C195" s="48" t="str">
        <x:v>CN-YN</x:v>
      </x:c>
      <x:c r="D195" s="48" t="str">
        <x:v>Yunnan</x:v>
      </x:c>
      <x:c r="E195" s="48" t="str">
        <x:v>云南</x:v>
      </x:c>
      <x:c r="F195" s="48" t="n">
        <x:v>1</x:v>
      </x:c>
      <x:c r="G195" s="48" t="str">
        <x:v>marine_capture</x:v>
      </x:c>
      <x:c r="H195" s="48" t="str">
        <x:v>海洋捕捞</x:v>
      </x:c>
      <x:c r="I195" s="48" t="n">
        <x:v>2</x:v>
      </x:c>
      <x:c r="J195" s="48" t="str">
        <x:v>deep_processing</x:v>
      </x:c>
      <x:c r="K195" s="48" t="str">
        <x:v>深加工</x:v>
      </x:c>
      <x:c r="L195" s="54" t="n">
        <x:v>0</x:v>
      </x:c>
      <x:c r="M195" s="54" t="n">
        <x:v>0</x:v>
      </x:c>
      <x:c r="N195" s="55" t="n">
        <x:v>0.38</x:v>
      </x:c>
      <x:c r="O195" s="54" t="n">
        <x:v>0</x:v>
      </x:c>
      <x:c r="P195" s="54" t="n">
        <x:v>0</x:v>
      </x:c>
      <x:c r="Q195" s="55" t="n">
        <x:v>0.009785932721712538</x:v>
      </x:c>
      <x:c r="R195" s="55" t="n">
        <x:v>0.38145060048654467</x:v>
      </x:c>
      <x:c r="S195" s="55" t="n">
        <x:v>0.7245001694340901</x:v>
      </x:c>
      <x:c r="T195" s="55" t="n">
        <x:v>1.3802619270346117</x:v>
      </x:c>
      <x:c r="U195" s="55" t="n">
        <x:v>0.38101040013482257</x:v>
      </x:c>
      <x:c r="V195" s="55" t="n">
        <x:v>0.8666463599528121</x:v>
      </x:c>
      <x:c r="W195" s="55" t="n">
        <x:v>0.7559332439065971</x:v>
      </x:c>
      <x:c r="X195" s="55" t="n">
        <x:v>0.9232200268280208</x:v>
      </x:c>
      <x:c r="Y195" s="54" t="n">
        <x:v>183666.29791742834</x:v>
      </x:c>
      <x:c r="Z195" s="54" t="n">
        <x:v>241161.39821333138</x:v>
      </x:c>
      <x:c r="AA195" s="54" t="n">
        <x:v>72790.97182147093</x:v>
      </x:c>
      <x:c r="AB195" s="55" t="n">
        <x:v>0.82</x:v>
      </x:c>
      <x:c r="AC195" s="55" t="n">
        <x:v>0.95</x:v>
      </x:c>
      <x:c r="AD195" s="55" t="n">
        <x:v>0.36</x:v>
      </x:c>
      <x:c r="AE195" s="55" t="n">
        <x:v>0.31</x:v>
      </x:c>
      <x:c r="AF195" s="55" t="n">
        <x:v>1</x:v>
      </x:c>
      <x:c r="AG195" s="53" t="str">
        <x:v>NBS China Statistical Yearbook 2025, Table 12-15</x:v>
      </x:c>
      <x:c r="AH195" s="53" t="str">
        <x:v>calibrated reconstruction; not historical author input</x:v>
      </x:c>
    </x:row>
    <x:row r="196" ht="32" hidden="0" customHeight="1">
      <x:c r="A196" s="48" t="str">
        <x:v>x_r25_s2_m1</x:v>
      </x:c>
      <x:c r="B196" s="48" t="str">
        <x:v>r25</x:v>
      </x:c>
      <x:c r="C196" s="48" t="str">
        <x:v>CN-YN</x:v>
      </x:c>
      <x:c r="D196" s="48" t="str">
        <x:v>Yunnan</x:v>
      </x:c>
      <x:c r="E196" s="48" t="str">
        <x:v>云南</x:v>
      </x:c>
      <x:c r="F196" s="48" t="n">
        <x:v>2</x:v>
      </x:c>
      <x:c r="G196" s="48" t="str">
        <x:v>freshwater_capture</x:v>
      </x:c>
      <x:c r="H196" s="48" t="str">
        <x:v>淡水捕捞</x:v>
      </x:c>
      <x:c r="I196" s="48" t="n">
        <x:v>1</x:v>
      </x:c>
      <x:c r="J196" s="48" t="str">
        <x:v>fresh_sales</x:v>
      </x:c>
      <x:c r="K196" s="48" t="str">
        <x:v>鲜销</x:v>
      </x:c>
      <x:c r="L196" s="54" t="n">
        <x:v>28000</x:v>
      </x:c>
      <x:c r="M196" s="54" t="n">
        <x:v>27081.590866462793</x:v>
      </x:c>
      <x:c r="N196" s="55" t="n">
        <x:v>0.67</x:v>
      </x:c>
      <x:c r="O196" s="54" t="n">
        <x:v>18144.665880530072</x:v>
      </x:c>
      <x:c r="P196" s="54" t="n">
        <x:v>21773.599056636085</x:v>
      </x:c>
      <x:c r="Q196" s="55" t="n">
        <x:v>0.009785932721712538</x:v>
      </x:c>
      <x:c r="R196" s="55" t="n">
        <x:v>0.38145060048654467</x:v>
      </x:c>
      <x:c r="S196" s="55" t="n">
        <x:v>0.7245001694340901</x:v>
      </x:c>
      <x:c r="T196" s="55" t="n">
        <x:v>1.3802619270346117</x:v>
      </x:c>
      <x:c r="U196" s="55" t="n">
        <x:v>0.38101040013482257</x:v>
      </x:c>
      <x:c r="V196" s="55" t="n">
        <x:v>0.8666463599528121</x:v>
      </x:c>
      <x:c r="W196" s="55" t="n">
        <x:v>0.7559332439065971</x:v>
      </x:c>
      <x:c r="X196" s="55" t="n">
        <x:v>0.9232200268280208</x:v>
      </x:c>
      <x:c r="Y196" s="54" t="n">
        <x:v>183666.29791742834</x:v>
      </x:c>
      <x:c r="Z196" s="54" t="n">
        <x:v>241161.39821333138</x:v>
      </x:c>
      <x:c r="AA196" s="54" t="n">
        <x:v>72790.97182147093</x:v>
      </x:c>
      <x:c r="AB196" s="55" t="n">
        <x:v>0.7</x:v>
      </x:c>
      <x:c r="AC196" s="55" t="n">
        <x:v>0.67</x:v>
      </x:c>
      <x:c r="AD196" s="55" t="n">
        <x:v>0.26</x:v>
      </x:c>
      <x:c r="AE196" s="55" t="n">
        <x:v>0.42</x:v>
      </x:c>
      <x:c r="AF196" s="55" t="n">
        <x:v>0.7</x:v>
      </x:c>
      <x:c r="AG196" s="53" t="str">
        <x:v>NBS China Statistical Yearbook 2025, Table 12-15</x:v>
      </x:c>
      <x:c r="AH196" s="53" t="str">
        <x:v>calibrated reconstruction; not historical author input</x:v>
      </x:c>
    </x:row>
    <x:row r="197" ht="32" hidden="0" customHeight="1">
      <x:c r="A197" s="48" t="str">
        <x:v>x_r25_s2_m2</x:v>
      </x:c>
      <x:c r="B197" s="48" t="str">
        <x:v>r25</x:v>
      </x:c>
      <x:c r="C197" s="48" t="str">
        <x:v>CN-YN</x:v>
      </x:c>
      <x:c r="D197" s="48" t="str">
        <x:v>Yunnan</x:v>
      </x:c>
      <x:c r="E197" s="48" t="str">
        <x:v>云南</x:v>
      </x:c>
      <x:c r="F197" s="48" t="n">
        <x:v>2</x:v>
      </x:c>
      <x:c r="G197" s="48" t="str">
        <x:v>freshwater_capture</x:v>
      </x:c>
      <x:c r="H197" s="48" t="str">
        <x:v>淡水捕捞</x:v>
      </x:c>
      <x:c r="I197" s="48" t="n">
        <x:v>2</x:v>
      </x:c>
      <x:c r="J197" s="48" t="str">
        <x:v>deep_processing</x:v>
      </x:c>
      <x:c r="K197" s="48" t="str">
        <x:v>深加工</x:v>
      </x:c>
      <x:c r="L197" s="54" t="n">
        <x:v>28000</x:v>
      </x:c>
      <x:c r="M197" s="54" t="n">
        <x:v>27081.590866462793</x:v>
      </x:c>
      <x:c r="N197" s="55" t="n">
        <x:v>0.33</x:v>
      </x:c>
      <x:c r="O197" s="54" t="n">
        <x:v>8936.924985932723</x:v>
      </x:c>
      <x:c r="P197" s="54" t="n">
        <x:v>10724.309983119267</x:v>
      </x:c>
      <x:c r="Q197" s="55" t="n">
        <x:v>0.009785932721712538</x:v>
      </x:c>
      <x:c r="R197" s="55" t="n">
        <x:v>0.38145060048654467</x:v>
      </x:c>
      <x:c r="S197" s="55" t="n">
        <x:v>0.7245001694340901</x:v>
      </x:c>
      <x:c r="T197" s="55" t="n">
        <x:v>1.3802619270346117</x:v>
      </x:c>
      <x:c r="U197" s="55" t="n">
        <x:v>0.38101040013482257</x:v>
      </x:c>
      <x:c r="V197" s="55" t="n">
        <x:v>0.8666463599528121</x:v>
      </x:c>
      <x:c r="W197" s="55" t="n">
        <x:v>0.7559332439065971</x:v>
      </x:c>
      <x:c r="X197" s="55" t="n">
        <x:v>0.9232200268280208</x:v>
      </x:c>
      <x:c r="Y197" s="54" t="n">
        <x:v>183666.29791742834</x:v>
      </x:c>
      <x:c r="Z197" s="54" t="n">
        <x:v>241161.39821333138</x:v>
      </x:c>
      <x:c r="AA197" s="54" t="n">
        <x:v>72790.97182147093</x:v>
      </x:c>
      <x:c r="AB197" s="55" t="n">
        <x:v>0.86</x:v>
      </x:c>
      <x:c r="AC197" s="55" t="n">
        <x:v>0.99</x:v>
      </x:c>
      <x:c r="AD197" s="55" t="n">
        <x:v>0.34</x:v>
      </x:c>
      <x:c r="AE197" s="55" t="n">
        <x:v>0.45</x:v>
      </x:c>
      <x:c r="AF197" s="55" t="n">
        <x:v>0.7</x:v>
      </x:c>
      <x:c r="AG197" s="53" t="str">
        <x:v>NBS China Statistical Yearbook 2025, Table 12-15</x:v>
      </x:c>
      <x:c r="AH197" s="53" t="str">
        <x:v>calibrated reconstruction; not historical author input</x:v>
      </x:c>
    </x:row>
    <x:row r="198" ht="32" hidden="0" customHeight="1">
      <x:c r="A198" s="48" t="str">
        <x:v>x_r25_s3_m1</x:v>
      </x:c>
      <x:c r="B198" s="48" t="str">
        <x:v>r25</x:v>
      </x:c>
      <x:c r="C198" s="48" t="str">
        <x:v>CN-YN</x:v>
      </x:c>
      <x:c r="D198" s="48" t="str">
        <x:v>Yunnan</x:v>
      </x:c>
      <x:c r="E198" s="48" t="str">
        <x:v>云南</x:v>
      </x:c>
      <x:c r="F198" s="48" t="n">
        <x:v>3</x:v>
      </x:c>
      <x:c r="G198" s="48" t="str">
        <x:v>marine_aquaculture</x:v>
      </x:c>
      <x:c r="H198" s="48" t="str">
        <x:v>海水养殖</x:v>
      </x:c>
      <x:c r="I198" s="48" t="n">
        <x:v>1</x:v>
      </x:c>
      <x:c r="J198" s="48" t="str">
        <x:v>fresh_sales</x:v>
      </x:c>
      <x:c r="K198" s="48" t="str">
        <x:v>鲜销</x:v>
      </x:c>
      <x:c r="L198" s="54" t="n">
        <x:v>0</x:v>
      </x:c>
      <x:c r="M198" s="54" t="n">
        <x:v>0</x:v>
      </x:c>
      <x:c r="N198" s="55" t="n">
        <x:v>0.74</x:v>
      </x:c>
      <x:c r="O198" s="54" t="n">
        <x:v>0</x:v>
      </x:c>
      <x:c r="P198" s="54" t="n">
        <x:v>0</x:v>
      </x:c>
      <x:c r="Q198" s="55" t="n">
        <x:v>0.009785932721712538</x:v>
      </x:c>
      <x:c r="R198" s="55" t="n">
        <x:v>0.38145060048654467</x:v>
      </x:c>
      <x:c r="S198" s="55" t="n">
        <x:v>0.7245001694340901</x:v>
      </x:c>
      <x:c r="T198" s="55" t="n">
        <x:v>1.3802619270346117</x:v>
      </x:c>
      <x:c r="U198" s="55" t="n">
        <x:v>0.38101040013482257</x:v>
      </x:c>
      <x:c r="V198" s="55" t="n">
        <x:v>0.8666463599528121</x:v>
      </x:c>
      <x:c r="W198" s="55" t="n">
        <x:v>0.7559332439065971</x:v>
      </x:c>
      <x:c r="X198" s="55" t="n">
        <x:v>0.9232200268280208</x:v>
      </x:c>
      <x:c r="Y198" s="54" t="n">
        <x:v>183666.29791742834</x:v>
      </x:c>
      <x:c r="Z198" s="54" t="n">
        <x:v>241161.39821333138</x:v>
      </x:c>
      <x:c r="AA198" s="54" t="n">
        <x:v>72790.97182147093</x:v>
      </x:c>
      <x:c r="AB198" s="55" t="n">
        <x:v>0.84</x:v>
      </x:c>
      <x:c r="AC198" s="55" t="n">
        <x:v>0.8</x:v>
      </x:c>
      <x:c r="AD198" s="55" t="n">
        <x:v>0.33</x:v>
      </x:c>
      <x:c r="AE198" s="55" t="n">
        <x:v>0.78</x:v>
      </x:c>
      <x:c r="AF198" s="55" t="n">
        <x:v>0.11</x:v>
      </x:c>
      <x:c r="AG198" s="53" t="str">
        <x:v>NBS China Statistical Yearbook 2025, Table 12-15</x:v>
      </x:c>
      <x:c r="AH198" s="53" t="str">
        <x:v>calibrated reconstruction; not historical author input</x:v>
      </x:c>
    </x:row>
    <x:row r="199" ht="32" hidden="0" customHeight="1">
      <x:c r="A199" s="48" t="str">
        <x:v>x_r25_s3_m2</x:v>
      </x:c>
      <x:c r="B199" s="48" t="str">
        <x:v>r25</x:v>
      </x:c>
      <x:c r="C199" s="48" t="str">
        <x:v>CN-YN</x:v>
      </x:c>
      <x:c r="D199" s="48" t="str">
        <x:v>Yunnan</x:v>
      </x:c>
      <x:c r="E199" s="48" t="str">
        <x:v>云南</x:v>
      </x:c>
      <x:c r="F199" s="48" t="n">
        <x:v>3</x:v>
      </x:c>
      <x:c r="G199" s="48" t="str">
        <x:v>marine_aquaculture</x:v>
      </x:c>
      <x:c r="H199" s="48" t="str">
        <x:v>海水养殖</x:v>
      </x:c>
      <x:c r="I199" s="48" t="n">
        <x:v>2</x:v>
      </x:c>
      <x:c r="J199" s="48" t="str">
        <x:v>deep_processing</x:v>
      </x:c>
      <x:c r="K199" s="48" t="str">
        <x:v>深加工</x:v>
      </x:c>
      <x:c r="L199" s="54" t="n">
        <x:v>0</x:v>
      </x:c>
      <x:c r="M199" s="54" t="n">
        <x:v>0</x:v>
      </x:c>
      <x:c r="N199" s="55" t="n">
        <x:v>0.26</x:v>
      </x:c>
      <x:c r="O199" s="54" t="n">
        <x:v>0</x:v>
      </x:c>
      <x:c r="P199" s="54" t="n">
        <x:v>0</x:v>
      </x:c>
      <x:c r="Q199" s="55" t="n">
        <x:v>0.009785932721712538</x:v>
      </x:c>
      <x:c r="R199" s="55" t="n">
        <x:v>0.38145060048654467</x:v>
      </x:c>
      <x:c r="S199" s="55" t="n">
        <x:v>0.7245001694340901</x:v>
      </x:c>
      <x:c r="T199" s="55" t="n">
        <x:v>1.3802619270346117</x:v>
      </x:c>
      <x:c r="U199" s="55" t="n">
        <x:v>0.38101040013482257</x:v>
      </x:c>
      <x:c r="V199" s="55" t="n">
        <x:v>0.8666463599528121</x:v>
      </x:c>
      <x:c r="W199" s="55" t="n">
        <x:v>0.7559332439065971</x:v>
      </x:c>
      <x:c r="X199" s="55" t="n">
        <x:v>0.9232200268280208</x:v>
      </x:c>
      <x:c r="Y199" s="54" t="n">
        <x:v>183666.29791742834</x:v>
      </x:c>
      <x:c r="Z199" s="54" t="n">
        <x:v>241161.39821333138</x:v>
      </x:c>
      <x:c r="AA199" s="54" t="n">
        <x:v>72790.97182147093</x:v>
      </x:c>
      <x:c r="AB199" s="55" t="n">
        <x:v>1.02</x:v>
      </x:c>
      <x:c r="AC199" s="55" t="n">
        <x:v>1.16</x:v>
      </x:c>
      <x:c r="AD199" s="55" t="n">
        <x:v>0.41</x:v>
      </x:c>
      <x:c r="AE199" s="55" t="n">
        <x:v>0.81</x:v>
      </x:c>
      <x:c r="AF199" s="55" t="n">
        <x:v>0.11</x:v>
      </x:c>
      <x:c r="AG199" s="53" t="str">
        <x:v>NBS China Statistical Yearbook 2025, Table 12-15</x:v>
      </x:c>
      <x:c r="AH199" s="53" t="str">
        <x:v>calibrated reconstruction; not historical author input</x:v>
      </x:c>
    </x:row>
    <x:row r="200" ht="32" hidden="0" customHeight="1">
      <x:c r="A200" s="48" t="str">
        <x:v>x_r25_s4_m1</x:v>
      </x:c>
      <x:c r="B200" s="48" t="str">
        <x:v>r25</x:v>
      </x:c>
      <x:c r="C200" s="48" t="str">
        <x:v>CN-YN</x:v>
      </x:c>
      <x:c r="D200" s="48" t="str">
        <x:v>Yunnan</x:v>
      </x:c>
      <x:c r="E200" s="48" t="str">
        <x:v>云南</x:v>
      </x:c>
      <x:c r="F200" s="48" t="n">
        <x:v>4</x:v>
      </x:c>
      <x:c r="G200" s="48" t="str">
        <x:v>freshwater_aquaculture</x:v>
      </x:c>
      <x:c r="H200" s="48" t="str">
        <x:v>淡水养殖</x:v>
      </x:c>
      <x:c r="I200" s="48" t="n">
        <x:v>1</x:v>
      </x:c>
      <x:c r="J200" s="48" t="str">
        <x:v>fresh_sales</x:v>
      </x:c>
      <x:c r="K200" s="48" t="str">
        <x:v>鲜销</x:v>
      </x:c>
      <x:c r="L200" s="54" t="n">
        <x:v>692000</x:v>
      </x:c>
      <x:c r="M200" s="54" t="n">
        <x:v>669302.1742711519</x:v>
      </x:c>
      <x:c r="N200" s="55" t="n">
        <x:v>0.78</x:v>
      </x:c>
      <x:c r="O200" s="54" t="n">
        <x:v>522055.6959314985</x:v>
      </x:c>
      <x:c r="P200" s="54" t="n">
        <x:v>626466.8351177982</x:v>
      </x:c>
      <x:c r="Q200" s="55" t="n">
        <x:v>0.009785932721712538</x:v>
      </x:c>
      <x:c r="R200" s="55" t="n">
        <x:v>0.38145060048654467</x:v>
      </x:c>
      <x:c r="S200" s="55" t="n">
        <x:v>0.7245001694340901</x:v>
      </x:c>
      <x:c r="T200" s="55" t="n">
        <x:v>1.3802619270346117</x:v>
      </x:c>
      <x:c r="U200" s="55" t="n">
        <x:v>0.38101040013482257</x:v>
      </x:c>
      <x:c r="V200" s="55" t="n">
        <x:v>0.8666463599528121</x:v>
      </x:c>
      <x:c r="W200" s="55" t="n">
        <x:v>0.7559332439065971</x:v>
      </x:c>
      <x:c r="X200" s="55" t="n">
        <x:v>0.9232200268280208</x:v>
      </x:c>
      <x:c r="Y200" s="54" t="n">
        <x:v>183666.29791742834</x:v>
      </x:c>
      <x:c r="Z200" s="54" t="n">
        <x:v>241161.39821333138</x:v>
      </x:c>
      <x:c r="AA200" s="54" t="n">
        <x:v>72790.97182147093</x:v>
      </x:c>
      <x:c r="AB200" s="55" t="n">
        <x:v>0.88</x:v>
      </x:c>
      <x:c r="AC200" s="55" t="n">
        <x:v>0.84</x:v>
      </x:c>
      <x:c r="AD200" s="55" t="n">
        <x:v>0.31</x:v>
      </x:c>
      <x:c r="AE200" s="55" t="n">
        <x:v>0.88</x:v>
      </x:c>
      <x:c r="AF200" s="55" t="n">
        <x:v>0.08</x:v>
      </x:c>
      <x:c r="AG200" s="53" t="str">
        <x:v>NBS China Statistical Yearbook 2025, Table 12-15</x:v>
      </x:c>
      <x:c r="AH200" s="53" t="str">
        <x:v>calibrated reconstruction; not historical author input</x:v>
      </x:c>
    </x:row>
    <x:row r="201" ht="32" hidden="0" customHeight="1">
      <x:c r="A201" s="48" t="str">
        <x:v>x_r25_s4_m2</x:v>
      </x:c>
      <x:c r="B201" s="48" t="str">
        <x:v>r25</x:v>
      </x:c>
      <x:c r="C201" s="48" t="str">
        <x:v>CN-YN</x:v>
      </x:c>
      <x:c r="D201" s="48" t="str">
        <x:v>Yunnan</x:v>
      </x:c>
      <x:c r="E201" s="48" t="str">
        <x:v>云南</x:v>
      </x:c>
      <x:c r="F201" s="48" t="n">
        <x:v>4</x:v>
      </x:c>
      <x:c r="G201" s="48" t="str">
        <x:v>freshwater_aquaculture</x:v>
      </x:c>
      <x:c r="H201" s="48" t="str">
        <x:v>淡水养殖</x:v>
      </x:c>
      <x:c r="I201" s="48" t="n">
        <x:v>2</x:v>
      </x:c>
      <x:c r="J201" s="48" t="str">
        <x:v>deep_processing</x:v>
      </x:c>
      <x:c r="K201" s="48" t="str">
        <x:v>深加工</x:v>
      </x:c>
      <x:c r="L201" s="54" t="n">
        <x:v>692000</x:v>
      </x:c>
      <x:c r="M201" s="54" t="n">
        <x:v>669302.1742711519</x:v>
      </x:c>
      <x:c r="N201" s="55" t="n">
        <x:v>0.22</x:v>
      </x:c>
      <x:c r="O201" s="54" t="n">
        <x:v>147246.4783396534</x:v>
      </x:c>
      <x:c r="P201" s="54" t="n">
        <x:v>176695.77400758408</x:v>
      </x:c>
      <x:c r="Q201" s="55" t="n">
        <x:v>0.009785932721712538</x:v>
      </x:c>
      <x:c r="R201" s="55" t="n">
        <x:v>0.38145060048654467</x:v>
      </x:c>
      <x:c r="S201" s="55" t="n">
        <x:v>0.7245001694340901</x:v>
      </x:c>
      <x:c r="T201" s="55" t="n">
        <x:v>1.3802619270346117</x:v>
      </x:c>
      <x:c r="U201" s="55" t="n">
        <x:v>0.38101040013482257</x:v>
      </x:c>
      <x:c r="V201" s="55" t="n">
        <x:v>0.8666463599528121</x:v>
      </x:c>
      <x:c r="W201" s="55" t="n">
        <x:v>0.7559332439065971</x:v>
      </x:c>
      <x:c r="X201" s="55" t="n">
        <x:v>0.9232200268280208</x:v>
      </x:c>
      <x:c r="Y201" s="54" t="n">
        <x:v>183666.29791742834</x:v>
      </x:c>
      <x:c r="Z201" s="54" t="n">
        <x:v>241161.39821333138</x:v>
      </x:c>
      <x:c r="AA201" s="54" t="n">
        <x:v>72790.97182147093</x:v>
      </x:c>
      <x:c r="AB201" s="55" t="n">
        <x:v>1.06</x:v>
      </x:c>
      <x:c r="AC201" s="55" t="n">
        <x:v>1.2</x:v>
      </x:c>
      <x:c r="AD201" s="55" t="n">
        <x:v>0.39</x:v>
      </x:c>
      <x:c r="AE201" s="55" t="n">
        <x:v>0.91</x:v>
      </x:c>
      <x:c r="AF201" s="55" t="n">
        <x:v>0.08</x:v>
      </x:c>
      <x:c r="AG201" s="53" t="str">
        <x:v>NBS China Statistical Yearbook 2025, Table 12-15</x:v>
      </x:c>
      <x:c r="AH201" s="53" t="str">
        <x:v>calibrated reconstruction; not historical author input</x:v>
      </x:c>
    </x:row>
    <x:row r="202" ht="32" hidden="0" customHeight="1">
      <x:c r="A202" s="48" t="str">
        <x:v>x_r26_s1_m1</x:v>
      </x:c>
      <x:c r="B202" s="48" t="str">
        <x:v>r26</x:v>
      </x:c>
      <x:c r="C202" s="48" t="str">
        <x:v>CN-XZ</x:v>
      </x:c>
      <x:c r="D202" s="48" t="str">
        <x:v>Tibet</x:v>
      </x:c>
      <x:c r="E202" s="48" t="str">
        <x:v>西藏</x:v>
      </x:c>
      <x:c r="F202" s="48" t="n">
        <x:v>1</x:v>
      </x:c>
      <x:c r="G202" s="48" t="str">
        <x:v>marine_capture</x:v>
      </x:c>
      <x:c r="H202" s="48" t="str">
        <x:v>海洋捕捞</x:v>
      </x:c>
      <x:c r="I202" s="48" t="n">
        <x:v>1</x:v>
      </x:c>
      <x:c r="J202" s="48" t="str">
        <x:v>fresh_sales</x:v>
      </x:c>
      <x:c r="K202" s="48" t="str">
        <x:v>鲜销</x:v>
      </x:c>
      <x:c r="L202" s="54" t="n">
        <x:v>0</x:v>
      </x:c>
      <x:c r="M202" s="54" t="n">
        <x:v>0</x:v>
      </x:c>
      <x:c r="N202" s="55" t="n">
        <x:v>0.62</x:v>
      </x:c>
      <x:c r="O202" s="54" t="n">
        <x:v>0</x:v>
      </x:c>
      <x:c r="P202" s="54" t="n">
        <x:v>0</x:v>
      </x:c>
      <x:c r="Q202" s="55" t="n">
        <x:v>0</x:v>
      </x:c>
      <x:c r="R202" s="55" t="n">
        <x:v>0.364149324754526</x:v>
      </x:c>
      <x:c r="S202" s="55" t="n">
        <x:v>0.7590163140823933</x:v>
      </x:c>
      <x:c r="T202" s="55" t="n">
        <x:v>1.3174947381848332</x:v>
      </x:c>
      <x:c r="U202" s="55" t="n">
        <x:v>1</x:v>
      </x:c>
      <x:c r="V202" s="55" t="n">
        <x:v>0.65</x:v>
      </x:c>
      <x:c r="W202" s="55" t="n">
        <x:v>0</x:v>
      </x:c>
      <x:c r="X202" s="55" t="n">
        <x:v>1.15</x:v>
      </x:c>
      <x:c r="Y202" s="54" t="n">
        <x:v>7736.814503512814</x:v>
      </x:c>
      <x:c r="Z202" s="54" t="n">
        <x:v>1</x:v>
      </x:c>
      <x:c r="AA202" s="54" t="n">
        <x:v>0</x:v>
      </x:c>
      <x:c r="AB202" s="55" t="n">
        <x:v>0.65</x:v>
      </x:c>
      <x:c r="AC202" s="55" t="n">
        <x:v>0.62</x:v>
      </x:c>
      <x:c r="AD202" s="55" t="n">
        <x:v>0.29</x:v>
      </x:c>
      <x:c r="AE202" s="55" t="n">
        <x:v>0.28</x:v>
      </x:c>
      <x:c r="AF202" s="55" t="n">
        <x:v>1</x:v>
      </x:c>
      <x:c r="AG202" s="53" t="str">
        <x:v>NBS China Statistical Yearbook 2025, Table 12-15</x:v>
      </x:c>
      <x:c r="AH202" s="53" t="str">
        <x:v>calibrated reconstruction; not historical author input</x:v>
      </x:c>
    </x:row>
    <x:row r="203" ht="32" hidden="0" customHeight="1">
      <x:c r="A203" s="48" t="str">
        <x:v>x_r26_s1_m2</x:v>
      </x:c>
      <x:c r="B203" s="48" t="str">
        <x:v>r26</x:v>
      </x:c>
      <x:c r="C203" s="48" t="str">
        <x:v>CN-XZ</x:v>
      </x:c>
      <x:c r="D203" s="48" t="str">
        <x:v>Tibet</x:v>
      </x:c>
      <x:c r="E203" s="48" t="str">
        <x:v>西藏</x:v>
      </x:c>
      <x:c r="F203" s="48" t="n">
        <x:v>1</x:v>
      </x:c>
      <x:c r="G203" s="48" t="str">
        <x:v>marine_capture</x:v>
      </x:c>
      <x:c r="H203" s="48" t="str">
        <x:v>海洋捕捞</x:v>
      </x:c>
      <x:c r="I203" s="48" t="n">
        <x:v>2</x:v>
      </x:c>
      <x:c r="J203" s="48" t="str">
        <x:v>deep_processing</x:v>
      </x:c>
      <x:c r="K203" s="48" t="str">
        <x:v>深加工</x:v>
      </x:c>
      <x:c r="L203" s="54" t="n">
        <x:v>0</x:v>
      </x:c>
      <x:c r="M203" s="54" t="n">
        <x:v>0</x:v>
      </x:c>
      <x:c r="N203" s="55" t="n">
        <x:v>0.38</x:v>
      </x:c>
      <x:c r="O203" s="54" t="n">
        <x:v>0</x:v>
      </x:c>
      <x:c r="P203" s="54" t="n">
        <x:v>0</x:v>
      </x:c>
      <x:c r="Q203" s="55" t="n">
        <x:v>0</x:v>
      </x:c>
      <x:c r="R203" s="55" t="n">
        <x:v>0.364149324754526</x:v>
      </x:c>
      <x:c r="S203" s="55" t="n">
        <x:v>0.7590163140823933</x:v>
      </x:c>
      <x:c r="T203" s="55" t="n">
        <x:v>1.3174947381848332</x:v>
      </x:c>
      <x:c r="U203" s="55" t="n">
        <x:v>1</x:v>
      </x:c>
      <x:c r="V203" s="55" t="n">
        <x:v>0.65</x:v>
      </x:c>
      <x:c r="W203" s="55" t="n">
        <x:v>0</x:v>
      </x:c>
      <x:c r="X203" s="55" t="n">
        <x:v>1.15</x:v>
      </x:c>
      <x:c r="Y203" s="54" t="n">
        <x:v>7736.814503512814</x:v>
      </x:c>
      <x:c r="Z203" s="54" t="n">
        <x:v>1</x:v>
      </x:c>
      <x:c r="AA203" s="54" t="n">
        <x:v>0</x:v>
      </x:c>
      <x:c r="AB203" s="55" t="n">
        <x:v>0.82</x:v>
      </x:c>
      <x:c r="AC203" s="55" t="n">
        <x:v>0.95</x:v>
      </x:c>
      <x:c r="AD203" s="55" t="n">
        <x:v>0.36</x:v>
      </x:c>
      <x:c r="AE203" s="55" t="n">
        <x:v>0.31</x:v>
      </x:c>
      <x:c r="AF203" s="55" t="n">
        <x:v>1</x:v>
      </x:c>
      <x:c r="AG203" s="53" t="str">
        <x:v>NBS China Statistical Yearbook 2025, Table 12-15</x:v>
      </x:c>
      <x:c r="AH203" s="53" t="str">
        <x:v>calibrated reconstruction; not historical author input</x:v>
      </x:c>
    </x:row>
    <x:row r="204" ht="32" hidden="0" customHeight="1">
      <x:c r="A204" s="48" t="str">
        <x:v>x_r26_s2_m1</x:v>
      </x:c>
      <x:c r="B204" s="48" t="str">
        <x:v>r26</x:v>
      </x:c>
      <x:c r="C204" s="48" t="str">
        <x:v>CN-XZ</x:v>
      </x:c>
      <x:c r="D204" s="48" t="str">
        <x:v>Tibet</x:v>
      </x:c>
      <x:c r="E204" s="48" t="str">
        <x:v>西藏</x:v>
      </x:c>
      <x:c r="F204" s="48" t="n">
        <x:v>2</x:v>
      </x:c>
      <x:c r="G204" s="48" t="str">
        <x:v>freshwater_capture</x:v>
      </x:c>
      <x:c r="H204" s="48" t="str">
        <x:v>淡水捕捞</x:v>
      </x:c>
      <x:c r="I204" s="48" t="n">
        <x:v>1</x:v>
      </x:c>
      <x:c r="J204" s="48" t="str">
        <x:v>fresh_sales</x:v>
      </x:c>
      <x:c r="K204" s="48" t="str">
        <x:v>鲜销</x:v>
      </x:c>
      <x:c r="L204" s="54" t="n">
        <x:v>0</x:v>
      </x:c>
      <x:c r="M204" s="54" t="n">
        <x:v>0</x:v>
      </x:c>
      <x:c r="N204" s="55" t="n">
        <x:v>0.67</x:v>
      </x:c>
      <x:c r="O204" s="54" t="n">
        <x:v>0</x:v>
      </x:c>
      <x:c r="P204" s="54" t="n">
        <x:v>0</x:v>
      </x:c>
      <x:c r="Q204" s="55" t="n">
        <x:v>0</x:v>
      </x:c>
      <x:c r="R204" s="55" t="n">
        <x:v>0.364149324754526</x:v>
      </x:c>
      <x:c r="S204" s="55" t="n">
        <x:v>0.7590163140823933</x:v>
      </x:c>
      <x:c r="T204" s="55" t="n">
        <x:v>1.3174947381848332</x:v>
      </x:c>
      <x:c r="U204" s="55" t="n">
        <x:v>1</x:v>
      </x:c>
      <x:c r="V204" s="55" t="n">
        <x:v>0.65</x:v>
      </x:c>
      <x:c r="W204" s="55" t="n">
        <x:v>0</x:v>
      </x:c>
      <x:c r="X204" s="55" t="n">
        <x:v>1.15</x:v>
      </x:c>
      <x:c r="Y204" s="54" t="n">
        <x:v>7736.814503512814</x:v>
      </x:c>
      <x:c r="Z204" s="54" t="n">
        <x:v>1</x:v>
      </x:c>
      <x:c r="AA204" s="54" t="n">
        <x:v>0</x:v>
      </x:c>
      <x:c r="AB204" s="55" t="n">
        <x:v>0.7</x:v>
      </x:c>
      <x:c r="AC204" s="55" t="n">
        <x:v>0.67</x:v>
      </x:c>
      <x:c r="AD204" s="55" t="n">
        <x:v>0.26</x:v>
      </x:c>
      <x:c r="AE204" s="55" t="n">
        <x:v>0.42</x:v>
      </x:c>
      <x:c r="AF204" s="55" t="n">
        <x:v>0.7</x:v>
      </x:c>
      <x:c r="AG204" s="53" t="str">
        <x:v>NBS China Statistical Yearbook 2025, Table 12-15</x:v>
      </x:c>
      <x:c r="AH204" s="53" t="str">
        <x:v>calibrated reconstruction; not historical author input</x:v>
      </x:c>
    </x:row>
    <x:row r="205" ht="32" hidden="0" customHeight="1">
      <x:c r="A205" s="48" t="str">
        <x:v>x_r26_s2_m2</x:v>
      </x:c>
      <x:c r="B205" s="48" t="str">
        <x:v>r26</x:v>
      </x:c>
      <x:c r="C205" s="48" t="str">
        <x:v>CN-XZ</x:v>
      </x:c>
      <x:c r="D205" s="48" t="str">
        <x:v>Tibet</x:v>
      </x:c>
      <x:c r="E205" s="48" t="str">
        <x:v>西藏</x:v>
      </x:c>
      <x:c r="F205" s="48" t="n">
        <x:v>2</x:v>
      </x:c>
      <x:c r="G205" s="48" t="str">
        <x:v>freshwater_capture</x:v>
      </x:c>
      <x:c r="H205" s="48" t="str">
        <x:v>淡水捕捞</x:v>
      </x:c>
      <x:c r="I205" s="48" t="n">
        <x:v>2</x:v>
      </x:c>
      <x:c r="J205" s="48" t="str">
        <x:v>deep_processing</x:v>
      </x:c>
      <x:c r="K205" s="48" t="str">
        <x:v>深加工</x:v>
      </x:c>
      <x:c r="L205" s="54" t="n">
        <x:v>0</x:v>
      </x:c>
      <x:c r="M205" s="54" t="n">
        <x:v>0</x:v>
      </x:c>
      <x:c r="N205" s="55" t="n">
        <x:v>0.33</x:v>
      </x:c>
      <x:c r="O205" s="54" t="n">
        <x:v>0</x:v>
      </x:c>
      <x:c r="P205" s="54" t="n">
        <x:v>0</x:v>
      </x:c>
      <x:c r="Q205" s="55" t="n">
        <x:v>0</x:v>
      </x:c>
      <x:c r="R205" s="55" t="n">
        <x:v>0.364149324754526</x:v>
      </x:c>
      <x:c r="S205" s="55" t="n">
        <x:v>0.7590163140823933</x:v>
      </x:c>
      <x:c r="T205" s="55" t="n">
        <x:v>1.3174947381848332</x:v>
      </x:c>
      <x:c r="U205" s="55" t="n">
        <x:v>1</x:v>
      </x:c>
      <x:c r="V205" s="55" t="n">
        <x:v>0.65</x:v>
      </x:c>
      <x:c r="W205" s="55" t="n">
        <x:v>0</x:v>
      </x:c>
      <x:c r="X205" s="55" t="n">
        <x:v>1.15</x:v>
      </x:c>
      <x:c r="Y205" s="54" t="n">
        <x:v>7736.814503512814</x:v>
      </x:c>
      <x:c r="Z205" s="54" t="n">
        <x:v>1</x:v>
      </x:c>
      <x:c r="AA205" s="54" t="n">
        <x:v>0</x:v>
      </x:c>
      <x:c r="AB205" s="55" t="n">
        <x:v>0.86</x:v>
      </x:c>
      <x:c r="AC205" s="55" t="n">
        <x:v>0.99</x:v>
      </x:c>
      <x:c r="AD205" s="55" t="n">
        <x:v>0.34</x:v>
      </x:c>
      <x:c r="AE205" s="55" t="n">
        <x:v>0.45</x:v>
      </x:c>
      <x:c r="AF205" s="55" t="n">
        <x:v>0.7</x:v>
      </x:c>
      <x:c r="AG205" s="53" t="str">
        <x:v>NBS China Statistical Yearbook 2025, Table 12-15</x:v>
      </x:c>
      <x:c r="AH205" s="53" t="str">
        <x:v>calibrated reconstruction; not historical author input</x:v>
      </x:c>
    </x:row>
    <x:row r="206" ht="32" hidden="0" customHeight="1">
      <x:c r="A206" s="48" t="str">
        <x:v>x_r26_s3_m1</x:v>
      </x:c>
      <x:c r="B206" s="48" t="str">
        <x:v>r26</x:v>
      </x:c>
      <x:c r="C206" s="48" t="str">
        <x:v>CN-XZ</x:v>
      </x:c>
      <x:c r="D206" s="48" t="str">
        <x:v>Tibet</x:v>
      </x:c>
      <x:c r="E206" s="48" t="str">
        <x:v>西藏</x:v>
      </x:c>
      <x:c r="F206" s="48" t="n">
        <x:v>3</x:v>
      </x:c>
      <x:c r="G206" s="48" t="str">
        <x:v>marine_aquaculture</x:v>
      </x:c>
      <x:c r="H206" s="48" t="str">
        <x:v>海水养殖</x:v>
      </x:c>
      <x:c r="I206" s="48" t="n">
        <x:v>1</x:v>
      </x:c>
      <x:c r="J206" s="48" t="str">
        <x:v>fresh_sales</x:v>
      </x:c>
      <x:c r="K206" s="48" t="str">
        <x:v>鲜销</x:v>
      </x:c>
      <x:c r="L206" s="54" t="n">
        <x:v>0</x:v>
      </x:c>
      <x:c r="M206" s="54" t="n">
        <x:v>0</x:v>
      </x:c>
      <x:c r="N206" s="55" t="n">
        <x:v>0.74</x:v>
      </x:c>
      <x:c r="O206" s="54" t="n">
        <x:v>0</x:v>
      </x:c>
      <x:c r="P206" s="54" t="n">
        <x:v>0</x:v>
      </x:c>
      <x:c r="Q206" s="55" t="n">
        <x:v>0</x:v>
      </x:c>
      <x:c r="R206" s="55" t="n">
        <x:v>0.364149324754526</x:v>
      </x:c>
      <x:c r="S206" s="55" t="n">
        <x:v>0.7590163140823933</x:v>
      </x:c>
      <x:c r="T206" s="55" t="n">
        <x:v>1.3174947381848332</x:v>
      </x:c>
      <x:c r="U206" s="55" t="n">
        <x:v>1</x:v>
      </x:c>
      <x:c r="V206" s="55" t="n">
        <x:v>0.65</x:v>
      </x:c>
      <x:c r="W206" s="55" t="n">
        <x:v>0</x:v>
      </x:c>
      <x:c r="X206" s="55" t="n">
        <x:v>1.15</x:v>
      </x:c>
      <x:c r="Y206" s="54" t="n">
        <x:v>7736.814503512814</x:v>
      </x:c>
      <x:c r="Z206" s="54" t="n">
        <x:v>1</x:v>
      </x:c>
      <x:c r="AA206" s="54" t="n">
        <x:v>0</x:v>
      </x:c>
      <x:c r="AB206" s="55" t="n">
        <x:v>0.84</x:v>
      </x:c>
      <x:c r="AC206" s="55" t="n">
        <x:v>0.8</x:v>
      </x:c>
      <x:c r="AD206" s="55" t="n">
        <x:v>0.33</x:v>
      </x:c>
      <x:c r="AE206" s="55" t="n">
        <x:v>0.78</x:v>
      </x:c>
      <x:c r="AF206" s="55" t="n">
        <x:v>0.11</x:v>
      </x:c>
      <x:c r="AG206" s="53" t="str">
        <x:v>NBS China Statistical Yearbook 2025, Table 12-15</x:v>
      </x:c>
      <x:c r="AH206" s="53" t="str">
        <x:v>calibrated reconstruction; not historical author input</x:v>
      </x:c>
    </x:row>
    <x:row r="207" ht="32" hidden="0" customHeight="1">
      <x:c r="A207" s="48" t="str">
        <x:v>x_r26_s3_m2</x:v>
      </x:c>
      <x:c r="B207" s="48" t="str">
        <x:v>r26</x:v>
      </x:c>
      <x:c r="C207" s="48" t="str">
        <x:v>CN-XZ</x:v>
      </x:c>
      <x:c r="D207" s="48" t="str">
        <x:v>Tibet</x:v>
      </x:c>
      <x:c r="E207" s="48" t="str">
        <x:v>西藏</x:v>
      </x:c>
      <x:c r="F207" s="48" t="n">
        <x:v>3</x:v>
      </x:c>
      <x:c r="G207" s="48" t="str">
        <x:v>marine_aquaculture</x:v>
      </x:c>
      <x:c r="H207" s="48" t="str">
        <x:v>海水养殖</x:v>
      </x:c>
      <x:c r="I207" s="48" t="n">
        <x:v>2</x:v>
      </x:c>
      <x:c r="J207" s="48" t="str">
        <x:v>deep_processing</x:v>
      </x:c>
      <x:c r="K207" s="48" t="str">
        <x:v>深加工</x:v>
      </x:c>
      <x:c r="L207" s="54" t="n">
        <x:v>0</x:v>
      </x:c>
      <x:c r="M207" s="54" t="n">
        <x:v>0</x:v>
      </x:c>
      <x:c r="N207" s="55" t="n">
        <x:v>0.26</x:v>
      </x:c>
      <x:c r="O207" s="54" t="n">
        <x:v>0</x:v>
      </x:c>
      <x:c r="P207" s="54" t="n">
        <x:v>0</x:v>
      </x:c>
      <x:c r="Q207" s="55" t="n">
        <x:v>0</x:v>
      </x:c>
      <x:c r="R207" s="55" t="n">
        <x:v>0.364149324754526</x:v>
      </x:c>
      <x:c r="S207" s="55" t="n">
        <x:v>0.7590163140823933</x:v>
      </x:c>
      <x:c r="T207" s="55" t="n">
        <x:v>1.3174947381848332</x:v>
      </x:c>
      <x:c r="U207" s="55" t="n">
        <x:v>1</x:v>
      </x:c>
      <x:c r="V207" s="55" t="n">
        <x:v>0.65</x:v>
      </x:c>
      <x:c r="W207" s="55" t="n">
        <x:v>0</x:v>
      </x:c>
      <x:c r="X207" s="55" t="n">
        <x:v>1.15</x:v>
      </x:c>
      <x:c r="Y207" s="54" t="n">
        <x:v>7736.814503512814</x:v>
      </x:c>
      <x:c r="Z207" s="54" t="n">
        <x:v>1</x:v>
      </x:c>
      <x:c r="AA207" s="54" t="n">
        <x:v>0</x:v>
      </x:c>
      <x:c r="AB207" s="55" t="n">
        <x:v>1.02</x:v>
      </x:c>
      <x:c r="AC207" s="55" t="n">
        <x:v>1.16</x:v>
      </x:c>
      <x:c r="AD207" s="55" t="n">
        <x:v>0.41</x:v>
      </x:c>
      <x:c r="AE207" s="55" t="n">
        <x:v>0.81</x:v>
      </x:c>
      <x:c r="AF207" s="55" t="n">
        <x:v>0.11</x:v>
      </x:c>
      <x:c r="AG207" s="53" t="str">
        <x:v>NBS China Statistical Yearbook 2025, Table 12-15</x:v>
      </x:c>
      <x:c r="AH207" s="53" t="str">
        <x:v>calibrated reconstruction; not historical author input</x:v>
      </x:c>
    </x:row>
    <x:row r="208" ht="32" hidden="0" customHeight="1">
      <x:c r="A208" s="48" t="str">
        <x:v>x_r26_s4_m1</x:v>
      </x:c>
      <x:c r="B208" s="48" t="str">
        <x:v>r26</x:v>
      </x:c>
      <x:c r="C208" s="48" t="str">
        <x:v>CN-XZ</x:v>
      </x:c>
      <x:c r="D208" s="48" t="str">
        <x:v>Tibet</x:v>
      </x:c>
      <x:c r="E208" s="48" t="str">
        <x:v>西藏</x:v>
      </x:c>
      <x:c r="F208" s="48" t="n">
        <x:v>4</x:v>
      </x:c>
      <x:c r="G208" s="48" t="str">
        <x:v>freshwater_aquaculture</x:v>
      </x:c>
      <x:c r="H208" s="48" t="str">
        <x:v>淡水养殖</x:v>
      </x:c>
      <x:c r="I208" s="48" t="n">
        <x:v>1</x:v>
      </x:c>
      <x:c r="J208" s="48" t="str">
        <x:v>fresh_sales</x:v>
      </x:c>
      <x:c r="K208" s="48" t="str">
        <x:v>鲜销</x:v>
      </x:c>
      <x:c r="L208" s="54" t="n">
        <x:v>0</x:v>
      </x:c>
      <x:c r="M208" s="54" t="n">
        <x:v>0</x:v>
      </x:c>
      <x:c r="N208" s="55" t="n">
        <x:v>0.78</x:v>
      </x:c>
      <x:c r="O208" s="54" t="n">
        <x:v>0</x:v>
      </x:c>
      <x:c r="P208" s="54" t="n">
        <x:v>0</x:v>
      </x:c>
      <x:c r="Q208" s="55" t="n">
        <x:v>0</x:v>
      </x:c>
      <x:c r="R208" s="55" t="n">
        <x:v>0.364149324754526</x:v>
      </x:c>
      <x:c r="S208" s="55" t="n">
        <x:v>0.7590163140823933</x:v>
      </x:c>
      <x:c r="T208" s="55" t="n">
        <x:v>1.3174947381848332</x:v>
      </x:c>
      <x:c r="U208" s="55" t="n">
        <x:v>1</x:v>
      </x:c>
      <x:c r="V208" s="55" t="n">
        <x:v>0.65</x:v>
      </x:c>
      <x:c r="W208" s="55" t="n">
        <x:v>0</x:v>
      </x:c>
      <x:c r="X208" s="55" t="n">
        <x:v>1.15</x:v>
      </x:c>
      <x:c r="Y208" s="54" t="n">
        <x:v>7736.814503512814</x:v>
      </x:c>
      <x:c r="Z208" s="54" t="n">
        <x:v>1</x:v>
      </x:c>
      <x:c r="AA208" s="54" t="n">
        <x:v>0</x:v>
      </x:c>
      <x:c r="AB208" s="55" t="n">
        <x:v>0.88</x:v>
      </x:c>
      <x:c r="AC208" s="55" t="n">
        <x:v>0.84</x:v>
      </x:c>
      <x:c r="AD208" s="55" t="n">
        <x:v>0.31</x:v>
      </x:c>
      <x:c r="AE208" s="55" t="n">
        <x:v>0.88</x:v>
      </x:c>
      <x:c r="AF208" s="55" t="n">
        <x:v>0.08</x:v>
      </x:c>
      <x:c r="AG208" s="53" t="str">
        <x:v>NBS China Statistical Yearbook 2025, Table 12-15</x:v>
      </x:c>
      <x:c r="AH208" s="53" t="str">
        <x:v>calibrated reconstruction; not historical author input</x:v>
      </x:c>
    </x:row>
    <x:row r="209" ht="32" hidden="0" customHeight="1">
      <x:c r="A209" s="48" t="str">
        <x:v>x_r26_s4_m2</x:v>
      </x:c>
      <x:c r="B209" s="48" t="str">
        <x:v>r26</x:v>
      </x:c>
      <x:c r="C209" s="48" t="str">
        <x:v>CN-XZ</x:v>
      </x:c>
      <x:c r="D209" s="48" t="str">
        <x:v>Tibet</x:v>
      </x:c>
      <x:c r="E209" s="48" t="str">
        <x:v>西藏</x:v>
      </x:c>
      <x:c r="F209" s="48" t="n">
        <x:v>4</x:v>
      </x:c>
      <x:c r="G209" s="48" t="str">
        <x:v>freshwater_aquaculture</x:v>
      </x:c>
      <x:c r="H209" s="48" t="str">
        <x:v>淡水养殖</x:v>
      </x:c>
      <x:c r="I209" s="48" t="n">
        <x:v>2</x:v>
      </x:c>
      <x:c r="J209" s="48" t="str">
        <x:v>deep_processing</x:v>
      </x:c>
      <x:c r="K209" s="48" t="str">
        <x:v>深加工</x:v>
      </x:c>
      <x:c r="L209" s="54" t="n">
        <x:v>0</x:v>
      </x:c>
      <x:c r="M209" s="54" t="n">
        <x:v>0</x:v>
      </x:c>
      <x:c r="N209" s="55" t="n">
        <x:v>0.22</x:v>
      </x:c>
      <x:c r="O209" s="54" t="n">
        <x:v>0</x:v>
      </x:c>
      <x:c r="P209" s="54" t="n">
        <x:v>0</x:v>
      </x:c>
      <x:c r="Q209" s="55" t="n">
        <x:v>0</x:v>
      </x:c>
      <x:c r="R209" s="55" t="n">
        <x:v>0.364149324754526</x:v>
      </x:c>
      <x:c r="S209" s="55" t="n">
        <x:v>0.7590163140823933</x:v>
      </x:c>
      <x:c r="T209" s="55" t="n">
        <x:v>1.3174947381848332</x:v>
      </x:c>
      <x:c r="U209" s="55" t="n">
        <x:v>1</x:v>
      </x:c>
      <x:c r="V209" s="55" t="n">
        <x:v>0.65</x:v>
      </x:c>
      <x:c r="W209" s="55" t="n">
        <x:v>0</x:v>
      </x:c>
      <x:c r="X209" s="55" t="n">
        <x:v>1.15</x:v>
      </x:c>
      <x:c r="Y209" s="54" t="n">
        <x:v>7736.814503512814</x:v>
      </x:c>
      <x:c r="Z209" s="54" t="n">
        <x:v>1</x:v>
      </x:c>
      <x:c r="AA209" s="54" t="n">
        <x:v>0</x:v>
      </x:c>
      <x:c r="AB209" s="55" t="n">
        <x:v>1.06</x:v>
      </x:c>
      <x:c r="AC209" s="55" t="n">
        <x:v>1.2</x:v>
      </x:c>
      <x:c r="AD209" s="55" t="n">
        <x:v>0.39</x:v>
      </x:c>
      <x:c r="AE209" s="55" t="n">
        <x:v>0.91</x:v>
      </x:c>
      <x:c r="AF209" s="55" t="n">
        <x:v>0.08</x:v>
      </x:c>
      <x:c r="AG209" s="53" t="str">
        <x:v>NBS China Statistical Yearbook 2025, Table 12-15</x:v>
      </x:c>
      <x:c r="AH209" s="53" t="str">
        <x:v>calibrated reconstruction; not historical author input</x:v>
      </x:c>
    </x:row>
    <x:row r="210" ht="32" hidden="0" customHeight="1">
      <x:c r="A210" s="48" t="str">
        <x:v>x_r27_s1_m1</x:v>
      </x:c>
      <x:c r="B210" s="48" t="str">
        <x:v>r27</x:v>
      </x:c>
      <x:c r="C210" s="48" t="str">
        <x:v>CN-SN</x:v>
      </x:c>
      <x:c r="D210" s="48" t="str">
        <x:v>Shaanxi</x:v>
      </x:c>
      <x:c r="E210" s="48" t="str">
        <x:v>陕西</x:v>
      </x:c>
      <x:c r="F210" s="48" t="n">
        <x:v>1</x:v>
      </x:c>
      <x:c r="G210" s="48" t="str">
        <x:v>marine_capture</x:v>
      </x:c>
      <x:c r="H210" s="48" t="str">
        <x:v>海洋捕捞</x:v>
      </x:c>
      <x:c r="I210" s="48" t="n">
        <x:v>1</x:v>
      </x:c>
      <x:c r="J210" s="48" t="str">
        <x:v>fresh_sales</x:v>
      </x:c>
      <x:c r="K210" s="48" t="str">
        <x:v>鲜销</x:v>
      </x:c>
      <x:c r="L210" s="54" t="n">
        <x:v>0</x:v>
      </x:c>
      <x:c r="M210" s="54" t="n">
        <x:v>0</x:v>
      </x:c>
      <x:c r="N210" s="55" t="n">
        <x:v>0.62</x:v>
      </x:c>
      <x:c r="O210" s="54" t="n">
        <x:v>0</x:v>
      </x:c>
      <x:c r="P210" s="54" t="n">
        <x:v>0</x:v>
      </x:c>
      <x:c r="Q210" s="55" t="n">
        <x:v>0.00254162419300034</x:v>
      </x:c>
      <x:c r="R210" s="55" t="n">
        <x:v>0.4202640945369132</x:v>
      </x:c>
      <x:c r="S210" s="55" t="n">
        <x:v>0.8206661180229462</x:v>
      </x:c>
      <x:c r="T210" s="55" t="n">
        <x:v>1.218522341837487</x:v>
      </x:c>
      <x:c r="U210" s="55" t="n">
        <x:v>0.20954876707817896</x:v>
      </x:c>
      <x:c r="V210" s="55" t="n">
        <x:v>0.9266579315226373</x:v>
      </x:c>
      <x:c r="W210" s="55" t="n">
        <x:v>0.8084764011845795</x:v>
      </x:c>
      <x:c r="X210" s="55" t="n">
        <x:v>0.9074570796446261</x:v>
      </x:c>
      <x:c r="Y210" s="54" t="n">
        <x:v>105079.96301476932</x:v>
      </x:c>
      <x:c r="Z210" s="54" t="n">
        <x:v>64725.697727397834</x:v>
      </x:c>
      <x:c r="AA210" s="54" t="n">
        <x:v>10634.30603954302</x:v>
      </x:c>
      <x:c r="AB210" s="55" t="n">
        <x:v>0.65</x:v>
      </x:c>
      <x:c r="AC210" s="55" t="n">
        <x:v>0.62</x:v>
      </x:c>
      <x:c r="AD210" s="55" t="n">
        <x:v>0.29</x:v>
      </x:c>
      <x:c r="AE210" s="55" t="n">
        <x:v>0.28</x:v>
      </x:c>
      <x:c r="AF210" s="55" t="n">
        <x:v>1</x:v>
      </x:c>
      <x:c r="AG210" s="53" t="str">
        <x:v>NBS China Statistical Yearbook 2025, Table 12-15</x:v>
      </x:c>
      <x:c r="AH210" s="53" t="str">
        <x:v>calibrated reconstruction; not historical author input</x:v>
      </x:c>
    </x:row>
    <x:row r="211" ht="32" hidden="0" customHeight="1">
      <x:c r="A211" s="48" t="str">
        <x:v>x_r27_s1_m2</x:v>
      </x:c>
      <x:c r="B211" s="48" t="str">
        <x:v>r27</x:v>
      </x:c>
      <x:c r="C211" s="48" t="str">
        <x:v>CN-SN</x:v>
      </x:c>
      <x:c r="D211" s="48" t="str">
        <x:v>Shaanxi</x:v>
      </x:c>
      <x:c r="E211" s="48" t="str">
        <x:v>陕西</x:v>
      </x:c>
      <x:c r="F211" s="48" t="n">
        <x:v>1</x:v>
      </x:c>
      <x:c r="G211" s="48" t="str">
        <x:v>marine_capture</x:v>
      </x:c>
      <x:c r="H211" s="48" t="str">
        <x:v>海洋捕捞</x:v>
      </x:c>
      <x:c r="I211" s="48" t="n">
        <x:v>2</x:v>
      </x:c>
      <x:c r="J211" s="48" t="str">
        <x:v>deep_processing</x:v>
      </x:c>
      <x:c r="K211" s="48" t="str">
        <x:v>深加工</x:v>
      </x:c>
      <x:c r="L211" s="54" t="n">
        <x:v>0</x:v>
      </x:c>
      <x:c r="M211" s="54" t="n">
        <x:v>0</x:v>
      </x:c>
      <x:c r="N211" s="55" t="n">
        <x:v>0.38</x:v>
      </x:c>
      <x:c r="O211" s="54" t="n">
        <x:v>0</x:v>
      </x:c>
      <x:c r="P211" s="54" t="n">
        <x:v>0</x:v>
      </x:c>
      <x:c r="Q211" s="55" t="n">
        <x:v>0.00254162419300034</x:v>
      </x:c>
      <x:c r="R211" s="55" t="n">
        <x:v>0.4202640945369132</x:v>
      </x:c>
      <x:c r="S211" s="55" t="n">
        <x:v>0.8206661180229462</x:v>
      </x:c>
      <x:c r="T211" s="55" t="n">
        <x:v>1.218522341837487</x:v>
      </x:c>
      <x:c r="U211" s="55" t="n">
        <x:v>0.20954876707817896</x:v>
      </x:c>
      <x:c r="V211" s="55" t="n">
        <x:v>0.9266579315226373</x:v>
      </x:c>
      <x:c r="W211" s="55" t="n">
        <x:v>0.8084764011845795</x:v>
      </x:c>
      <x:c r="X211" s="55" t="n">
        <x:v>0.9074570796446261</x:v>
      </x:c>
      <x:c r="Y211" s="54" t="n">
        <x:v>105079.96301476932</x:v>
      </x:c>
      <x:c r="Z211" s="54" t="n">
        <x:v>64725.697727397834</x:v>
      </x:c>
      <x:c r="AA211" s="54" t="n">
        <x:v>10634.30603954302</x:v>
      </x:c>
      <x:c r="AB211" s="55" t="n">
        <x:v>0.82</x:v>
      </x:c>
      <x:c r="AC211" s="55" t="n">
        <x:v>0.95</x:v>
      </x:c>
      <x:c r="AD211" s="55" t="n">
        <x:v>0.36</x:v>
      </x:c>
      <x:c r="AE211" s="55" t="n">
        <x:v>0.31</x:v>
      </x:c>
      <x:c r="AF211" s="55" t="n">
        <x:v>1</x:v>
      </x:c>
      <x:c r="AG211" s="53" t="str">
        <x:v>NBS China Statistical Yearbook 2025, Table 12-15</x:v>
      </x:c>
      <x:c r="AH211" s="53" t="str">
        <x:v>calibrated reconstruction; not historical author input</x:v>
      </x:c>
    </x:row>
    <x:row r="212" ht="32" hidden="0" customHeight="1">
      <x:c r="A212" s="48" t="str">
        <x:v>x_r27_s2_m1</x:v>
      </x:c>
      <x:c r="B212" s="48" t="str">
        <x:v>r27</x:v>
      </x:c>
      <x:c r="C212" s="48" t="str">
        <x:v>CN-SN</x:v>
      </x:c>
      <x:c r="D212" s="48" t="str">
        <x:v>Shaanxi</x:v>
      </x:c>
      <x:c r="E212" s="48" t="str">
        <x:v>陕西</x:v>
      </x:c>
      <x:c r="F212" s="48" t="n">
        <x:v>2</x:v>
      </x:c>
      <x:c r="G212" s="48" t="str">
        <x:v>freshwater_capture</x:v>
      </x:c>
      <x:c r="H212" s="48" t="str">
        <x:v>淡水捕捞</x:v>
      </x:c>
      <x:c r="I212" s="48" t="n">
        <x:v>1</x:v>
      </x:c>
      <x:c r="J212" s="48" t="str">
        <x:v>fresh_sales</x:v>
      </x:c>
      <x:c r="K212" s="48" t="str">
        <x:v>鲜销</x:v>
      </x:c>
      <x:c r="L212" s="54" t="n">
        <x:v>0</x:v>
      </x:c>
      <x:c r="M212" s="54" t="n">
        <x:v>0</x:v>
      </x:c>
      <x:c r="N212" s="55" t="n">
        <x:v>0.67</x:v>
      </x:c>
      <x:c r="O212" s="54" t="n">
        <x:v>0</x:v>
      </x:c>
      <x:c r="P212" s="54" t="n">
        <x:v>0</x:v>
      </x:c>
      <x:c r="Q212" s="55" t="n">
        <x:v>0.00254162419300034</x:v>
      </x:c>
      <x:c r="R212" s="55" t="n">
        <x:v>0.4202640945369132</x:v>
      </x:c>
      <x:c r="S212" s="55" t="n">
        <x:v>0.8206661180229462</x:v>
      </x:c>
      <x:c r="T212" s="55" t="n">
        <x:v>1.218522341837487</x:v>
      </x:c>
      <x:c r="U212" s="55" t="n">
        <x:v>0.20954876707817896</x:v>
      </x:c>
      <x:c r="V212" s="55" t="n">
        <x:v>0.9266579315226373</x:v>
      </x:c>
      <x:c r="W212" s="55" t="n">
        <x:v>0.8084764011845795</x:v>
      </x:c>
      <x:c r="X212" s="55" t="n">
        <x:v>0.9074570796446261</x:v>
      </x:c>
      <x:c r="Y212" s="54" t="n">
        <x:v>105079.96301476932</x:v>
      </x:c>
      <x:c r="Z212" s="54" t="n">
        <x:v>64725.697727397834</x:v>
      </x:c>
      <x:c r="AA212" s="54" t="n">
        <x:v>10634.30603954302</x:v>
      </x:c>
      <x:c r="AB212" s="55" t="n">
        <x:v>0.7</x:v>
      </x:c>
      <x:c r="AC212" s="55" t="n">
        <x:v>0.67</x:v>
      </x:c>
      <x:c r="AD212" s="55" t="n">
        <x:v>0.26</x:v>
      </x:c>
      <x:c r="AE212" s="55" t="n">
        <x:v>0.42</x:v>
      </x:c>
      <x:c r="AF212" s="55" t="n">
        <x:v>0.7</x:v>
      </x:c>
      <x:c r="AG212" s="53" t="str">
        <x:v>NBS China Statistical Yearbook 2025, Table 12-15</x:v>
      </x:c>
      <x:c r="AH212" s="53" t="str">
        <x:v>calibrated reconstruction; not historical author input</x:v>
      </x:c>
    </x:row>
    <x:row r="213" ht="32" hidden="0" customHeight="1">
      <x:c r="A213" s="48" t="str">
        <x:v>x_r27_s2_m2</x:v>
      </x:c>
      <x:c r="B213" s="48" t="str">
        <x:v>r27</x:v>
      </x:c>
      <x:c r="C213" s="48" t="str">
        <x:v>CN-SN</x:v>
      </x:c>
      <x:c r="D213" s="48" t="str">
        <x:v>Shaanxi</x:v>
      </x:c>
      <x:c r="E213" s="48" t="str">
        <x:v>陕西</x:v>
      </x:c>
      <x:c r="F213" s="48" t="n">
        <x:v>2</x:v>
      </x:c>
      <x:c r="G213" s="48" t="str">
        <x:v>freshwater_capture</x:v>
      </x:c>
      <x:c r="H213" s="48" t="str">
        <x:v>淡水捕捞</x:v>
      </x:c>
      <x:c r="I213" s="48" t="n">
        <x:v>2</x:v>
      </x:c>
      <x:c r="J213" s="48" t="str">
        <x:v>deep_processing</x:v>
      </x:c>
      <x:c r="K213" s="48" t="str">
        <x:v>深加工</x:v>
      </x:c>
      <x:c r="L213" s="54" t="n">
        <x:v>0</x:v>
      </x:c>
      <x:c r="M213" s="54" t="n">
        <x:v>0</x:v>
      </x:c>
      <x:c r="N213" s="55" t="n">
        <x:v>0.33</x:v>
      </x:c>
      <x:c r="O213" s="54" t="n">
        <x:v>0</x:v>
      </x:c>
      <x:c r="P213" s="54" t="n">
        <x:v>0</x:v>
      </x:c>
      <x:c r="Q213" s="55" t="n">
        <x:v>0.00254162419300034</x:v>
      </x:c>
      <x:c r="R213" s="55" t="n">
        <x:v>0.4202640945369132</x:v>
      </x:c>
      <x:c r="S213" s="55" t="n">
        <x:v>0.8206661180229462</x:v>
      </x:c>
      <x:c r="T213" s="55" t="n">
        <x:v>1.218522341837487</x:v>
      </x:c>
      <x:c r="U213" s="55" t="n">
        <x:v>0.20954876707817896</x:v>
      </x:c>
      <x:c r="V213" s="55" t="n">
        <x:v>0.9266579315226373</x:v>
      </x:c>
      <x:c r="W213" s="55" t="n">
        <x:v>0.8084764011845795</x:v>
      </x:c>
      <x:c r="X213" s="55" t="n">
        <x:v>0.9074570796446261</x:v>
      </x:c>
      <x:c r="Y213" s="54" t="n">
        <x:v>105079.96301476932</x:v>
      </x:c>
      <x:c r="Z213" s="54" t="n">
        <x:v>64725.697727397834</x:v>
      </x:c>
      <x:c r="AA213" s="54" t="n">
        <x:v>10634.30603954302</x:v>
      </x:c>
      <x:c r="AB213" s="55" t="n">
        <x:v>0.86</x:v>
      </x:c>
      <x:c r="AC213" s="55" t="n">
        <x:v>0.99</x:v>
      </x:c>
      <x:c r="AD213" s="55" t="n">
        <x:v>0.34</x:v>
      </x:c>
      <x:c r="AE213" s="55" t="n">
        <x:v>0.45</x:v>
      </x:c>
      <x:c r="AF213" s="55" t="n">
        <x:v>0.7</x:v>
      </x:c>
      <x:c r="AG213" s="53" t="str">
        <x:v>NBS China Statistical Yearbook 2025, Table 12-15</x:v>
      </x:c>
      <x:c r="AH213" s="53" t="str">
        <x:v>calibrated reconstruction; not historical author input</x:v>
      </x:c>
    </x:row>
    <x:row r="214" ht="32" hidden="0" customHeight="1">
      <x:c r="A214" s="48" t="str">
        <x:v>x_r27_s3_m1</x:v>
      </x:c>
      <x:c r="B214" s="48" t="str">
        <x:v>r27</x:v>
      </x:c>
      <x:c r="C214" s="48" t="str">
        <x:v>CN-SN</x:v>
      </x:c>
      <x:c r="D214" s="48" t="str">
        <x:v>Shaanxi</x:v>
      </x:c>
      <x:c r="E214" s="48" t="str">
        <x:v>陕西</x:v>
      </x:c>
      <x:c r="F214" s="48" t="n">
        <x:v>3</x:v>
      </x:c>
      <x:c r="G214" s="48" t="str">
        <x:v>marine_aquaculture</x:v>
      </x:c>
      <x:c r="H214" s="48" t="str">
        <x:v>海水养殖</x:v>
      </x:c>
      <x:c r="I214" s="48" t="n">
        <x:v>1</x:v>
      </x:c>
      <x:c r="J214" s="48" t="str">
        <x:v>fresh_sales</x:v>
      </x:c>
      <x:c r="K214" s="48" t="str">
        <x:v>鲜销</x:v>
      </x:c>
      <x:c r="L214" s="54" t="n">
        <x:v>0</x:v>
      </x:c>
      <x:c r="M214" s="54" t="n">
        <x:v>0</x:v>
      </x:c>
      <x:c r="N214" s="55" t="n">
        <x:v>0.74</x:v>
      </x:c>
      <x:c r="O214" s="54" t="n">
        <x:v>0</x:v>
      </x:c>
      <x:c r="P214" s="54" t="n">
        <x:v>0</x:v>
      </x:c>
      <x:c r="Q214" s="55" t="n">
        <x:v>0.00254162419300034</x:v>
      </x:c>
      <x:c r="R214" s="55" t="n">
        <x:v>0.4202640945369132</x:v>
      </x:c>
      <x:c r="S214" s="55" t="n">
        <x:v>0.8206661180229462</x:v>
      </x:c>
      <x:c r="T214" s="55" t="n">
        <x:v>1.218522341837487</x:v>
      </x:c>
      <x:c r="U214" s="55" t="n">
        <x:v>0.20954876707817896</x:v>
      </x:c>
      <x:c r="V214" s="55" t="n">
        <x:v>0.9266579315226373</x:v>
      </x:c>
      <x:c r="W214" s="55" t="n">
        <x:v>0.8084764011845795</x:v>
      </x:c>
      <x:c r="X214" s="55" t="n">
        <x:v>0.9074570796446261</x:v>
      </x:c>
      <x:c r="Y214" s="54" t="n">
        <x:v>105079.96301476932</x:v>
      </x:c>
      <x:c r="Z214" s="54" t="n">
        <x:v>64725.697727397834</x:v>
      </x:c>
      <x:c r="AA214" s="54" t="n">
        <x:v>10634.30603954302</x:v>
      </x:c>
      <x:c r="AB214" s="55" t="n">
        <x:v>0.84</x:v>
      </x:c>
      <x:c r="AC214" s="55" t="n">
        <x:v>0.8</x:v>
      </x:c>
      <x:c r="AD214" s="55" t="n">
        <x:v>0.33</x:v>
      </x:c>
      <x:c r="AE214" s="55" t="n">
        <x:v>0.78</x:v>
      </x:c>
      <x:c r="AF214" s="55" t="n">
        <x:v>0.11</x:v>
      </x:c>
      <x:c r="AG214" s="53" t="str">
        <x:v>NBS China Statistical Yearbook 2025, Table 12-15</x:v>
      </x:c>
      <x:c r="AH214" s="53" t="str">
        <x:v>calibrated reconstruction; not historical author input</x:v>
      </x:c>
    </x:row>
    <x:row r="215" ht="32" hidden="0" customHeight="1">
      <x:c r="A215" s="48" t="str">
        <x:v>x_r27_s3_m2</x:v>
      </x:c>
      <x:c r="B215" s="48" t="str">
        <x:v>r27</x:v>
      </x:c>
      <x:c r="C215" s="48" t="str">
        <x:v>CN-SN</x:v>
      </x:c>
      <x:c r="D215" s="48" t="str">
        <x:v>Shaanxi</x:v>
      </x:c>
      <x:c r="E215" s="48" t="str">
        <x:v>陕西</x:v>
      </x:c>
      <x:c r="F215" s="48" t="n">
        <x:v>3</x:v>
      </x:c>
      <x:c r="G215" s="48" t="str">
        <x:v>marine_aquaculture</x:v>
      </x:c>
      <x:c r="H215" s="48" t="str">
        <x:v>海水养殖</x:v>
      </x:c>
      <x:c r="I215" s="48" t="n">
        <x:v>2</x:v>
      </x:c>
      <x:c r="J215" s="48" t="str">
        <x:v>deep_processing</x:v>
      </x:c>
      <x:c r="K215" s="48" t="str">
        <x:v>深加工</x:v>
      </x:c>
      <x:c r="L215" s="54" t="n">
        <x:v>0</x:v>
      </x:c>
      <x:c r="M215" s="54" t="n">
        <x:v>0</x:v>
      </x:c>
      <x:c r="N215" s="55" t="n">
        <x:v>0.26</x:v>
      </x:c>
      <x:c r="O215" s="54" t="n">
        <x:v>0</x:v>
      </x:c>
      <x:c r="P215" s="54" t="n">
        <x:v>0</x:v>
      </x:c>
      <x:c r="Q215" s="55" t="n">
        <x:v>0.00254162419300034</x:v>
      </x:c>
      <x:c r="R215" s="55" t="n">
        <x:v>0.4202640945369132</x:v>
      </x:c>
      <x:c r="S215" s="55" t="n">
        <x:v>0.8206661180229462</x:v>
      </x:c>
      <x:c r="T215" s="55" t="n">
        <x:v>1.218522341837487</x:v>
      </x:c>
      <x:c r="U215" s="55" t="n">
        <x:v>0.20954876707817896</x:v>
      </x:c>
      <x:c r="V215" s="55" t="n">
        <x:v>0.9266579315226373</x:v>
      </x:c>
      <x:c r="W215" s="55" t="n">
        <x:v>0.8084764011845795</x:v>
      </x:c>
      <x:c r="X215" s="55" t="n">
        <x:v>0.9074570796446261</x:v>
      </x:c>
      <x:c r="Y215" s="54" t="n">
        <x:v>105079.96301476932</x:v>
      </x:c>
      <x:c r="Z215" s="54" t="n">
        <x:v>64725.697727397834</x:v>
      </x:c>
      <x:c r="AA215" s="54" t="n">
        <x:v>10634.30603954302</x:v>
      </x:c>
      <x:c r="AB215" s="55" t="n">
        <x:v>1.02</x:v>
      </x:c>
      <x:c r="AC215" s="55" t="n">
        <x:v>1.16</x:v>
      </x:c>
      <x:c r="AD215" s="55" t="n">
        <x:v>0.41</x:v>
      </x:c>
      <x:c r="AE215" s="55" t="n">
        <x:v>0.81</x:v>
      </x:c>
      <x:c r="AF215" s="55" t="n">
        <x:v>0.11</x:v>
      </x:c>
      <x:c r="AG215" s="53" t="str">
        <x:v>NBS China Statistical Yearbook 2025, Table 12-15</x:v>
      </x:c>
      <x:c r="AH215" s="53" t="str">
        <x:v>calibrated reconstruction; not historical author input</x:v>
      </x:c>
    </x:row>
    <x:row r="216" ht="32" hidden="0" customHeight="1">
      <x:c r="A216" s="48" t="str">
        <x:v>x_r27_s4_m1</x:v>
      </x:c>
      <x:c r="B216" s="48" t="str">
        <x:v>r27</x:v>
      </x:c>
      <x:c r="C216" s="48" t="str">
        <x:v>CN-SN</x:v>
      </x:c>
      <x:c r="D216" s="48" t="str">
        <x:v>Shaanxi</x:v>
      </x:c>
      <x:c r="E216" s="48" t="str">
        <x:v>陕西</x:v>
      </x:c>
      <x:c r="F216" s="48" t="n">
        <x:v>4</x:v>
      </x:c>
      <x:c r="G216" s="48" t="str">
        <x:v>freshwater_aquaculture</x:v>
      </x:c>
      <x:c r="H216" s="48" t="str">
        <x:v>淡水养殖</x:v>
      </x:c>
      <x:c r="I216" s="48" t="n">
        <x:v>1</x:v>
      </x:c>
      <x:c r="J216" s="48" t="str">
        <x:v>fresh_sales</x:v>
      </x:c>
      <x:c r="K216" s="48" t="str">
        <x:v>鲜销</x:v>
      </x:c>
      <x:c r="L216" s="54" t="n">
        <x:v>187000</x:v>
      </x:c>
      <x:c r="M216" s="54" t="n">
        <x:v>180866.33900101937</x:v>
      </x:c>
      <x:c r="N216" s="55" t="n">
        <x:v>0.78</x:v>
      </x:c>
      <x:c r="O216" s="54" t="n">
        <x:v>141075.74442079512</x:v>
      </x:c>
      <x:c r="P216" s="54" t="n">
        <x:v>169290.89330495414</x:v>
      </x:c>
      <x:c r="Q216" s="55" t="n">
        <x:v>0.00254162419300034</x:v>
      </x:c>
      <x:c r="R216" s="55" t="n">
        <x:v>0.4202640945369132</x:v>
      </x:c>
      <x:c r="S216" s="55" t="n">
        <x:v>0.8206661180229462</x:v>
      </x:c>
      <x:c r="T216" s="55" t="n">
        <x:v>1.218522341837487</x:v>
      </x:c>
      <x:c r="U216" s="55" t="n">
        <x:v>0.20954876707817896</x:v>
      </x:c>
      <x:c r="V216" s="55" t="n">
        <x:v>0.9266579315226373</x:v>
      </x:c>
      <x:c r="W216" s="55" t="n">
        <x:v>0.8084764011845795</x:v>
      </x:c>
      <x:c r="X216" s="55" t="n">
        <x:v>0.9074570796446261</x:v>
      </x:c>
      <x:c r="Y216" s="54" t="n">
        <x:v>105079.96301476932</x:v>
      </x:c>
      <x:c r="Z216" s="54" t="n">
        <x:v>64725.697727397834</x:v>
      </x:c>
      <x:c r="AA216" s="54" t="n">
        <x:v>10634.30603954302</x:v>
      </x:c>
      <x:c r="AB216" s="55" t="n">
        <x:v>0.88</x:v>
      </x:c>
      <x:c r="AC216" s="55" t="n">
        <x:v>0.84</x:v>
      </x:c>
      <x:c r="AD216" s="55" t="n">
        <x:v>0.31</x:v>
      </x:c>
      <x:c r="AE216" s="55" t="n">
        <x:v>0.88</x:v>
      </x:c>
      <x:c r="AF216" s="55" t="n">
        <x:v>0.08</x:v>
      </x:c>
      <x:c r="AG216" s="53" t="str">
        <x:v>NBS China Statistical Yearbook 2025, Table 12-15</x:v>
      </x:c>
      <x:c r="AH216" s="53" t="str">
        <x:v>calibrated reconstruction; not historical author input</x:v>
      </x:c>
    </x:row>
    <x:row r="217" ht="32" hidden="0" customHeight="1">
      <x:c r="A217" s="48" t="str">
        <x:v>x_r27_s4_m2</x:v>
      </x:c>
      <x:c r="B217" s="48" t="str">
        <x:v>r27</x:v>
      </x:c>
      <x:c r="C217" s="48" t="str">
        <x:v>CN-SN</x:v>
      </x:c>
      <x:c r="D217" s="48" t="str">
        <x:v>Shaanxi</x:v>
      </x:c>
      <x:c r="E217" s="48" t="str">
        <x:v>陕西</x:v>
      </x:c>
      <x:c r="F217" s="48" t="n">
        <x:v>4</x:v>
      </x:c>
      <x:c r="G217" s="48" t="str">
        <x:v>freshwater_aquaculture</x:v>
      </x:c>
      <x:c r="H217" s="48" t="str">
        <x:v>淡水养殖</x:v>
      </x:c>
      <x:c r="I217" s="48" t="n">
        <x:v>2</x:v>
      </x:c>
      <x:c r="J217" s="48" t="str">
        <x:v>deep_processing</x:v>
      </x:c>
      <x:c r="K217" s="48" t="str">
        <x:v>深加工</x:v>
      </x:c>
      <x:c r="L217" s="54" t="n">
        <x:v>187000</x:v>
      </x:c>
      <x:c r="M217" s="54" t="n">
        <x:v>180866.33900101937</x:v>
      </x:c>
      <x:c r="N217" s="55" t="n">
        <x:v>0.22</x:v>
      </x:c>
      <x:c r="O217" s="54" t="n">
        <x:v>39790.594580224264</x:v>
      </x:c>
      <x:c r="P217" s="54" t="n">
        <x:v>47748.71349626911</x:v>
      </x:c>
      <x:c r="Q217" s="55" t="n">
        <x:v>0.00254162419300034</x:v>
      </x:c>
      <x:c r="R217" s="55" t="n">
        <x:v>0.4202640945369132</x:v>
      </x:c>
      <x:c r="S217" s="55" t="n">
        <x:v>0.8206661180229462</x:v>
      </x:c>
      <x:c r="T217" s="55" t="n">
        <x:v>1.218522341837487</x:v>
      </x:c>
      <x:c r="U217" s="55" t="n">
        <x:v>0.20954876707817896</x:v>
      </x:c>
      <x:c r="V217" s="55" t="n">
        <x:v>0.9266579315226373</x:v>
      </x:c>
      <x:c r="W217" s="55" t="n">
        <x:v>0.8084764011845795</x:v>
      </x:c>
      <x:c r="X217" s="55" t="n">
        <x:v>0.9074570796446261</x:v>
      </x:c>
      <x:c r="Y217" s="54" t="n">
        <x:v>105079.96301476932</x:v>
      </x:c>
      <x:c r="Z217" s="54" t="n">
        <x:v>64725.697727397834</x:v>
      </x:c>
      <x:c r="AA217" s="54" t="n">
        <x:v>10634.30603954302</x:v>
      </x:c>
      <x:c r="AB217" s="55" t="n">
        <x:v>1.06</x:v>
      </x:c>
      <x:c r="AC217" s="55" t="n">
        <x:v>1.2</x:v>
      </x:c>
      <x:c r="AD217" s="55" t="n">
        <x:v>0.39</x:v>
      </x:c>
      <x:c r="AE217" s="55" t="n">
        <x:v>0.91</x:v>
      </x:c>
      <x:c r="AF217" s="55" t="n">
        <x:v>0.08</x:v>
      </x:c>
      <x:c r="AG217" s="53" t="str">
        <x:v>NBS China Statistical Yearbook 2025, Table 12-15</x:v>
      </x:c>
      <x:c r="AH217" s="53" t="str">
        <x:v>calibrated reconstruction; not historical author input</x:v>
      </x:c>
    </x:row>
    <x:row r="218" ht="32" hidden="0" customHeight="1">
      <x:c r="A218" s="48" t="str">
        <x:v>x_r28_s1_m1</x:v>
      </x:c>
      <x:c r="B218" s="48" t="str">
        <x:v>r28</x:v>
      </x:c>
      <x:c r="C218" s="48" t="str">
        <x:v>CN-GS</x:v>
      </x:c>
      <x:c r="D218" s="48" t="str">
        <x:v>Gansu</x:v>
      </x:c>
      <x:c r="E218" s="48" t="str">
        <x:v>甘肃</x:v>
      </x:c>
      <x:c r="F218" s="48" t="n">
        <x:v>1</x:v>
      </x:c>
      <x:c r="G218" s="48" t="str">
        <x:v>marine_capture</x:v>
      </x:c>
      <x:c r="H218" s="48" t="str">
        <x:v>海洋捕捞</x:v>
      </x:c>
      <x:c r="I218" s="48" t="n">
        <x:v>1</x:v>
      </x:c>
      <x:c r="J218" s="48" t="str">
        <x:v>fresh_sales</x:v>
      </x:c>
      <x:c r="K218" s="48" t="str">
        <x:v>鲜销</x:v>
      </x:c>
      <x:c r="L218" s="54" t="n">
        <x:v>0</x:v>
      </x:c>
      <x:c r="M218" s="54" t="n">
        <x:v>0</x:v>
      </x:c>
      <x:c r="N218" s="55" t="n">
        <x:v>0.62</x:v>
      </x:c>
      <x:c r="O218" s="54" t="n">
        <x:v>0</x:v>
      </x:c>
      <x:c r="P218" s="54" t="n">
        <x:v>0</x:v>
      </x:c>
      <x:c r="Q218" s="55" t="n">
        <x:v>0.0002310567448182127</x:v>
      </x:c>
      <x:c r="R218" s="55" t="n">
        <x:v>0.3212096611692647</x:v>
      </x:c>
      <x:c r="S218" s="55" t="n">
        <x:v>0.65</x:v>
      </x:c>
      <x:c r="T218" s="55" t="n">
        <x:v>1.45</x:v>
      </x:c>
      <x:c r="U218" s="55" t="n">
        <x:v>0.5920022743129795</x:v>
      </x:c>
      <x:c r="V218" s="55" t="n">
        <x:v>0.7927992039904572</x:v>
      </x:c>
      <x:c r="W218" s="55" t="n">
        <x:v>0.6269695354977473</x:v>
      </x:c>
      <x:c r="X218" s="55" t="n">
        <x:v>0.9619091393506758</x:v>
      </x:c>
      <x:c r="Y218" s="54" t="n">
        <x:v>53435.859736869286</x:v>
      </x:c>
      <x:c r="Z218" s="54" t="n">
        <x:v>5227.584692847807</x:v>
      </x:c>
      <x:c r="AA218" s="54" t="n">
        <x:v>966.7550945039108</x:v>
      </x:c>
      <x:c r="AB218" s="55" t="n">
        <x:v>0.65</x:v>
      </x:c>
      <x:c r="AC218" s="55" t="n">
        <x:v>0.62</x:v>
      </x:c>
      <x:c r="AD218" s="55" t="n">
        <x:v>0.29</x:v>
      </x:c>
      <x:c r="AE218" s="55" t="n">
        <x:v>0.28</x:v>
      </x:c>
      <x:c r="AF218" s="55" t="n">
        <x:v>1</x:v>
      </x:c>
      <x:c r="AG218" s="53" t="str">
        <x:v>NBS China Statistical Yearbook 2025, Table 12-15</x:v>
      </x:c>
      <x:c r="AH218" s="53" t="str">
        <x:v>calibrated reconstruction; not historical author input</x:v>
      </x:c>
    </x:row>
    <x:row r="219" ht="32" hidden="0" customHeight="1">
      <x:c r="A219" s="48" t="str">
        <x:v>x_r28_s1_m2</x:v>
      </x:c>
      <x:c r="B219" s="48" t="str">
        <x:v>r28</x:v>
      </x:c>
      <x:c r="C219" s="48" t="str">
        <x:v>CN-GS</x:v>
      </x:c>
      <x:c r="D219" s="48" t="str">
        <x:v>Gansu</x:v>
      </x:c>
      <x:c r="E219" s="48" t="str">
        <x:v>甘肃</x:v>
      </x:c>
      <x:c r="F219" s="48" t="n">
        <x:v>1</x:v>
      </x:c>
      <x:c r="G219" s="48" t="str">
        <x:v>marine_capture</x:v>
      </x:c>
      <x:c r="H219" s="48" t="str">
        <x:v>海洋捕捞</x:v>
      </x:c>
      <x:c r="I219" s="48" t="n">
        <x:v>2</x:v>
      </x:c>
      <x:c r="J219" s="48" t="str">
        <x:v>deep_processing</x:v>
      </x:c>
      <x:c r="K219" s="48" t="str">
        <x:v>深加工</x:v>
      </x:c>
      <x:c r="L219" s="54" t="n">
        <x:v>0</x:v>
      </x:c>
      <x:c r="M219" s="54" t="n">
        <x:v>0</x:v>
      </x:c>
      <x:c r="N219" s="55" t="n">
        <x:v>0.38</x:v>
      </x:c>
      <x:c r="O219" s="54" t="n">
        <x:v>0</x:v>
      </x:c>
      <x:c r="P219" s="54" t="n">
        <x:v>0</x:v>
      </x:c>
      <x:c r="Q219" s="55" t="n">
        <x:v>0.0002310567448182127</x:v>
      </x:c>
      <x:c r="R219" s="55" t="n">
        <x:v>0.3212096611692647</x:v>
      </x:c>
      <x:c r="S219" s="55" t="n">
        <x:v>0.65</x:v>
      </x:c>
      <x:c r="T219" s="55" t="n">
        <x:v>1.45</x:v>
      </x:c>
      <x:c r="U219" s="55" t="n">
        <x:v>0.5920022743129795</x:v>
      </x:c>
      <x:c r="V219" s="55" t="n">
        <x:v>0.7927992039904572</x:v>
      </x:c>
      <x:c r="W219" s="55" t="n">
        <x:v>0.6269695354977473</x:v>
      </x:c>
      <x:c r="X219" s="55" t="n">
        <x:v>0.9619091393506758</x:v>
      </x:c>
      <x:c r="Y219" s="54" t="n">
        <x:v>53435.859736869286</x:v>
      </x:c>
      <x:c r="Z219" s="54" t="n">
        <x:v>5227.584692847807</x:v>
      </x:c>
      <x:c r="AA219" s="54" t="n">
        <x:v>966.7550945039108</x:v>
      </x:c>
      <x:c r="AB219" s="55" t="n">
        <x:v>0.82</x:v>
      </x:c>
      <x:c r="AC219" s="55" t="n">
        <x:v>0.95</x:v>
      </x:c>
      <x:c r="AD219" s="55" t="n">
        <x:v>0.36</x:v>
      </x:c>
      <x:c r="AE219" s="55" t="n">
        <x:v>0.31</x:v>
      </x:c>
      <x:c r="AF219" s="55" t="n">
        <x:v>1</x:v>
      </x:c>
      <x:c r="AG219" s="53" t="str">
        <x:v>NBS China Statistical Yearbook 2025, Table 12-15</x:v>
      </x:c>
      <x:c r="AH219" s="53" t="str">
        <x:v>calibrated reconstruction; not historical author input</x:v>
      </x:c>
    </x:row>
    <x:row r="220" ht="32" hidden="0" customHeight="1">
      <x:c r="A220" s="48" t="str">
        <x:v>x_r28_s2_m1</x:v>
      </x:c>
      <x:c r="B220" s="48" t="str">
        <x:v>r28</x:v>
      </x:c>
      <x:c r="C220" s="48" t="str">
        <x:v>CN-GS</x:v>
      </x:c>
      <x:c r="D220" s="48" t="str">
        <x:v>Gansu</x:v>
      </x:c>
      <x:c r="E220" s="48" t="str">
        <x:v>甘肃</x:v>
      </x:c>
      <x:c r="F220" s="48" t="n">
        <x:v>2</x:v>
      </x:c>
      <x:c r="G220" s="48" t="str">
        <x:v>freshwater_capture</x:v>
      </x:c>
      <x:c r="H220" s="48" t="str">
        <x:v>淡水捕捞</x:v>
      </x:c>
      <x:c r="I220" s="48" t="n">
        <x:v>1</x:v>
      </x:c>
      <x:c r="J220" s="48" t="str">
        <x:v>fresh_sales</x:v>
      </x:c>
      <x:c r="K220" s="48" t="str">
        <x:v>鲜销</x:v>
      </x:c>
      <x:c r="L220" s="54" t="n">
        <x:v>0</x:v>
      </x:c>
      <x:c r="M220" s="54" t="n">
        <x:v>0</x:v>
      </x:c>
      <x:c r="N220" s="55" t="n">
        <x:v>0.67</x:v>
      </x:c>
      <x:c r="O220" s="54" t="n">
        <x:v>0</x:v>
      </x:c>
      <x:c r="P220" s="54" t="n">
        <x:v>0</x:v>
      </x:c>
      <x:c r="Q220" s="55" t="n">
        <x:v>0.0002310567448182127</x:v>
      </x:c>
      <x:c r="R220" s="55" t="n">
        <x:v>0.3212096611692647</x:v>
      </x:c>
      <x:c r="S220" s="55" t="n">
        <x:v>0.65</x:v>
      </x:c>
      <x:c r="T220" s="55" t="n">
        <x:v>1.45</x:v>
      </x:c>
      <x:c r="U220" s="55" t="n">
        <x:v>0.5920022743129795</x:v>
      </x:c>
      <x:c r="V220" s="55" t="n">
        <x:v>0.7927992039904572</x:v>
      </x:c>
      <x:c r="W220" s="55" t="n">
        <x:v>0.6269695354977473</x:v>
      </x:c>
      <x:c r="X220" s="55" t="n">
        <x:v>0.9619091393506758</x:v>
      </x:c>
      <x:c r="Y220" s="54" t="n">
        <x:v>53435.859736869286</x:v>
      </x:c>
      <x:c r="Z220" s="54" t="n">
        <x:v>5227.584692847807</x:v>
      </x:c>
      <x:c r="AA220" s="54" t="n">
        <x:v>966.7550945039108</x:v>
      </x:c>
      <x:c r="AB220" s="55" t="n">
        <x:v>0.7</x:v>
      </x:c>
      <x:c r="AC220" s="55" t="n">
        <x:v>0.67</x:v>
      </x:c>
      <x:c r="AD220" s="55" t="n">
        <x:v>0.26</x:v>
      </x:c>
      <x:c r="AE220" s="55" t="n">
        <x:v>0.42</x:v>
      </x:c>
      <x:c r="AF220" s="55" t="n">
        <x:v>0.7</x:v>
      </x:c>
      <x:c r="AG220" s="53" t="str">
        <x:v>NBS China Statistical Yearbook 2025, Table 12-15</x:v>
      </x:c>
      <x:c r="AH220" s="53" t="str">
        <x:v>calibrated reconstruction; not historical author input</x:v>
      </x:c>
    </x:row>
    <x:row r="221" ht="32" hidden="0" customHeight="1">
      <x:c r="A221" s="48" t="str">
        <x:v>x_r28_s2_m2</x:v>
      </x:c>
      <x:c r="B221" s="48" t="str">
        <x:v>r28</x:v>
      </x:c>
      <x:c r="C221" s="48" t="str">
        <x:v>CN-GS</x:v>
      </x:c>
      <x:c r="D221" s="48" t="str">
        <x:v>Gansu</x:v>
      </x:c>
      <x:c r="E221" s="48" t="str">
        <x:v>甘肃</x:v>
      </x:c>
      <x:c r="F221" s="48" t="n">
        <x:v>2</x:v>
      </x:c>
      <x:c r="G221" s="48" t="str">
        <x:v>freshwater_capture</x:v>
      </x:c>
      <x:c r="H221" s="48" t="str">
        <x:v>淡水捕捞</x:v>
      </x:c>
      <x:c r="I221" s="48" t="n">
        <x:v>2</x:v>
      </x:c>
      <x:c r="J221" s="48" t="str">
        <x:v>deep_processing</x:v>
      </x:c>
      <x:c r="K221" s="48" t="str">
        <x:v>深加工</x:v>
      </x:c>
      <x:c r="L221" s="54" t="n">
        <x:v>0</x:v>
      </x:c>
      <x:c r="M221" s="54" t="n">
        <x:v>0</x:v>
      </x:c>
      <x:c r="N221" s="55" t="n">
        <x:v>0.33</x:v>
      </x:c>
      <x:c r="O221" s="54" t="n">
        <x:v>0</x:v>
      </x:c>
      <x:c r="P221" s="54" t="n">
        <x:v>0</x:v>
      </x:c>
      <x:c r="Q221" s="55" t="n">
        <x:v>0.0002310567448182127</x:v>
      </x:c>
      <x:c r="R221" s="55" t="n">
        <x:v>0.3212096611692647</x:v>
      </x:c>
      <x:c r="S221" s="55" t="n">
        <x:v>0.65</x:v>
      </x:c>
      <x:c r="T221" s="55" t="n">
        <x:v>1.45</x:v>
      </x:c>
      <x:c r="U221" s="55" t="n">
        <x:v>0.5920022743129795</x:v>
      </x:c>
      <x:c r="V221" s="55" t="n">
        <x:v>0.7927992039904572</x:v>
      </x:c>
      <x:c r="W221" s="55" t="n">
        <x:v>0.6269695354977473</x:v>
      </x:c>
      <x:c r="X221" s="55" t="n">
        <x:v>0.9619091393506758</x:v>
      </x:c>
      <x:c r="Y221" s="54" t="n">
        <x:v>53435.859736869286</x:v>
      </x:c>
      <x:c r="Z221" s="54" t="n">
        <x:v>5227.584692847807</x:v>
      </x:c>
      <x:c r="AA221" s="54" t="n">
        <x:v>966.7550945039108</x:v>
      </x:c>
      <x:c r="AB221" s="55" t="n">
        <x:v>0.86</x:v>
      </x:c>
      <x:c r="AC221" s="55" t="n">
        <x:v>0.99</x:v>
      </x:c>
      <x:c r="AD221" s="55" t="n">
        <x:v>0.34</x:v>
      </x:c>
      <x:c r="AE221" s="55" t="n">
        <x:v>0.45</x:v>
      </x:c>
      <x:c r="AF221" s="55" t="n">
        <x:v>0.7</x:v>
      </x:c>
      <x:c r="AG221" s="53" t="str">
        <x:v>NBS China Statistical Yearbook 2025, Table 12-15</x:v>
      </x:c>
      <x:c r="AH221" s="53" t="str">
        <x:v>calibrated reconstruction; not historical author input</x:v>
      </x:c>
    </x:row>
    <x:row r="222" ht="32" hidden="0" customHeight="1">
      <x:c r="A222" s="48" t="str">
        <x:v>x_r28_s3_m1</x:v>
      </x:c>
      <x:c r="B222" s="48" t="str">
        <x:v>r28</x:v>
      </x:c>
      <x:c r="C222" s="48" t="str">
        <x:v>CN-GS</x:v>
      </x:c>
      <x:c r="D222" s="48" t="str">
        <x:v>Gansu</x:v>
      </x:c>
      <x:c r="E222" s="48" t="str">
        <x:v>甘肃</x:v>
      </x:c>
      <x:c r="F222" s="48" t="n">
        <x:v>3</x:v>
      </x:c>
      <x:c r="G222" s="48" t="str">
        <x:v>marine_aquaculture</x:v>
      </x:c>
      <x:c r="H222" s="48" t="str">
        <x:v>海水养殖</x:v>
      </x:c>
      <x:c r="I222" s="48" t="n">
        <x:v>1</x:v>
      </x:c>
      <x:c r="J222" s="48" t="str">
        <x:v>fresh_sales</x:v>
      </x:c>
      <x:c r="K222" s="48" t="str">
        <x:v>鲜销</x:v>
      </x:c>
      <x:c r="L222" s="54" t="n">
        <x:v>0</x:v>
      </x:c>
      <x:c r="M222" s="54" t="n">
        <x:v>0</x:v>
      </x:c>
      <x:c r="N222" s="55" t="n">
        <x:v>0.74</x:v>
      </x:c>
      <x:c r="O222" s="54" t="n">
        <x:v>0</x:v>
      </x:c>
      <x:c r="P222" s="54" t="n">
        <x:v>0</x:v>
      </x:c>
      <x:c r="Q222" s="55" t="n">
        <x:v>0.0002310567448182127</x:v>
      </x:c>
      <x:c r="R222" s="55" t="n">
        <x:v>0.3212096611692647</x:v>
      </x:c>
      <x:c r="S222" s="55" t="n">
        <x:v>0.65</x:v>
      </x:c>
      <x:c r="T222" s="55" t="n">
        <x:v>1.45</x:v>
      </x:c>
      <x:c r="U222" s="55" t="n">
        <x:v>0.5920022743129795</x:v>
      </x:c>
      <x:c r="V222" s="55" t="n">
        <x:v>0.7927992039904572</x:v>
      </x:c>
      <x:c r="W222" s="55" t="n">
        <x:v>0.6269695354977473</x:v>
      </x:c>
      <x:c r="X222" s="55" t="n">
        <x:v>0.9619091393506758</x:v>
      </x:c>
      <x:c r="Y222" s="54" t="n">
        <x:v>53435.859736869286</x:v>
      </x:c>
      <x:c r="Z222" s="54" t="n">
        <x:v>5227.584692847807</x:v>
      </x:c>
      <x:c r="AA222" s="54" t="n">
        <x:v>966.7550945039108</x:v>
      </x:c>
      <x:c r="AB222" s="55" t="n">
        <x:v>0.84</x:v>
      </x:c>
      <x:c r="AC222" s="55" t="n">
        <x:v>0.8</x:v>
      </x:c>
      <x:c r="AD222" s="55" t="n">
        <x:v>0.33</x:v>
      </x:c>
      <x:c r="AE222" s="55" t="n">
        <x:v>0.78</x:v>
      </x:c>
      <x:c r="AF222" s="55" t="n">
        <x:v>0.11</x:v>
      </x:c>
      <x:c r="AG222" s="53" t="str">
        <x:v>NBS China Statistical Yearbook 2025, Table 12-15</x:v>
      </x:c>
      <x:c r="AH222" s="53" t="str">
        <x:v>calibrated reconstruction; not historical author input</x:v>
      </x:c>
    </x:row>
    <x:row r="223" ht="32" hidden="0" customHeight="1">
      <x:c r="A223" s="48" t="str">
        <x:v>x_r28_s3_m2</x:v>
      </x:c>
      <x:c r="B223" s="48" t="str">
        <x:v>r28</x:v>
      </x:c>
      <x:c r="C223" s="48" t="str">
        <x:v>CN-GS</x:v>
      </x:c>
      <x:c r="D223" s="48" t="str">
        <x:v>Gansu</x:v>
      </x:c>
      <x:c r="E223" s="48" t="str">
        <x:v>甘肃</x:v>
      </x:c>
      <x:c r="F223" s="48" t="n">
        <x:v>3</x:v>
      </x:c>
      <x:c r="G223" s="48" t="str">
        <x:v>marine_aquaculture</x:v>
      </x:c>
      <x:c r="H223" s="48" t="str">
        <x:v>海水养殖</x:v>
      </x:c>
      <x:c r="I223" s="48" t="n">
        <x:v>2</x:v>
      </x:c>
      <x:c r="J223" s="48" t="str">
        <x:v>deep_processing</x:v>
      </x:c>
      <x:c r="K223" s="48" t="str">
        <x:v>深加工</x:v>
      </x:c>
      <x:c r="L223" s="54" t="n">
        <x:v>0</x:v>
      </x:c>
      <x:c r="M223" s="54" t="n">
        <x:v>0</x:v>
      </x:c>
      <x:c r="N223" s="55" t="n">
        <x:v>0.26</x:v>
      </x:c>
      <x:c r="O223" s="54" t="n">
        <x:v>0</x:v>
      </x:c>
      <x:c r="P223" s="54" t="n">
        <x:v>0</x:v>
      </x:c>
      <x:c r="Q223" s="55" t="n">
        <x:v>0.0002310567448182127</x:v>
      </x:c>
      <x:c r="R223" s="55" t="n">
        <x:v>0.3212096611692647</x:v>
      </x:c>
      <x:c r="S223" s="55" t="n">
        <x:v>0.65</x:v>
      </x:c>
      <x:c r="T223" s="55" t="n">
        <x:v>1.45</x:v>
      </x:c>
      <x:c r="U223" s="55" t="n">
        <x:v>0.5920022743129795</x:v>
      </x:c>
      <x:c r="V223" s="55" t="n">
        <x:v>0.7927992039904572</x:v>
      </x:c>
      <x:c r="W223" s="55" t="n">
        <x:v>0.6269695354977473</x:v>
      </x:c>
      <x:c r="X223" s="55" t="n">
        <x:v>0.9619091393506758</x:v>
      </x:c>
      <x:c r="Y223" s="54" t="n">
        <x:v>53435.859736869286</x:v>
      </x:c>
      <x:c r="Z223" s="54" t="n">
        <x:v>5227.584692847807</x:v>
      </x:c>
      <x:c r="AA223" s="54" t="n">
        <x:v>966.7550945039108</x:v>
      </x:c>
      <x:c r="AB223" s="55" t="n">
        <x:v>1.02</x:v>
      </x:c>
      <x:c r="AC223" s="55" t="n">
        <x:v>1.16</x:v>
      </x:c>
      <x:c r="AD223" s="55" t="n">
        <x:v>0.41</x:v>
      </x:c>
      <x:c r="AE223" s="55" t="n">
        <x:v>0.81</x:v>
      </x:c>
      <x:c r="AF223" s="55" t="n">
        <x:v>0.11</x:v>
      </x:c>
      <x:c r="AG223" s="53" t="str">
        <x:v>NBS China Statistical Yearbook 2025, Table 12-15</x:v>
      </x:c>
      <x:c r="AH223" s="53" t="str">
        <x:v>calibrated reconstruction; not historical author input</x:v>
      </x:c>
    </x:row>
    <x:row r="224" ht="32" hidden="0" customHeight="1">
      <x:c r="A224" s="48" t="str">
        <x:v>x_r28_s4_m1</x:v>
      </x:c>
      <x:c r="B224" s="48" t="str">
        <x:v>r28</x:v>
      </x:c>
      <x:c r="C224" s="48" t="str">
        <x:v>CN-GS</x:v>
      </x:c>
      <x:c r="D224" s="48" t="str">
        <x:v>Gansu</x:v>
      </x:c>
      <x:c r="E224" s="48" t="str">
        <x:v>甘肃</x:v>
      </x:c>
      <x:c r="F224" s="48" t="n">
        <x:v>4</x:v>
      </x:c>
      <x:c r="G224" s="48" t="str">
        <x:v>freshwater_aquaculture</x:v>
      </x:c>
      <x:c r="H224" s="48" t="str">
        <x:v>淡水养殖</x:v>
      </x:c>
      <x:c r="I224" s="48" t="n">
        <x:v>1</x:v>
      </x:c>
      <x:c r="J224" s="48" t="str">
        <x:v>fresh_sales</x:v>
      </x:c>
      <x:c r="K224" s="48" t="str">
        <x:v>鲜销</x:v>
      </x:c>
      <x:c r="L224" s="54" t="n">
        <x:v>17000</x:v>
      </x:c>
      <x:c r="M224" s="54" t="n">
        <x:v>16442.394454638124</x:v>
      </x:c>
      <x:c r="N224" s="55" t="n">
        <x:v>0.78</x:v>
      </x:c>
      <x:c r="O224" s="54" t="n">
        <x:v>12825.067674617738</x:v>
      </x:c>
      <x:c r="P224" s="54" t="n">
        <x:v>15390.081209541284</x:v>
      </x:c>
      <x:c r="Q224" s="55" t="n">
        <x:v>0.0002310567448182127</x:v>
      </x:c>
      <x:c r="R224" s="55" t="n">
        <x:v>0.3212096611692647</x:v>
      </x:c>
      <x:c r="S224" s="55" t="n">
        <x:v>0.65</x:v>
      </x:c>
      <x:c r="T224" s="55" t="n">
        <x:v>1.45</x:v>
      </x:c>
      <x:c r="U224" s="55" t="n">
        <x:v>0.5920022743129795</x:v>
      </x:c>
      <x:c r="V224" s="55" t="n">
        <x:v>0.7927992039904572</x:v>
      </x:c>
      <x:c r="W224" s="55" t="n">
        <x:v>0.6269695354977473</x:v>
      </x:c>
      <x:c r="X224" s="55" t="n">
        <x:v>0.9619091393506758</x:v>
      </x:c>
      <x:c r="Y224" s="54" t="n">
        <x:v>53435.859736869286</x:v>
      </x:c>
      <x:c r="Z224" s="54" t="n">
        <x:v>5227.584692847807</x:v>
      </x:c>
      <x:c r="AA224" s="54" t="n">
        <x:v>966.7550945039108</x:v>
      </x:c>
      <x:c r="AB224" s="55" t="n">
        <x:v>0.88</x:v>
      </x:c>
      <x:c r="AC224" s="55" t="n">
        <x:v>0.84</x:v>
      </x:c>
      <x:c r="AD224" s="55" t="n">
        <x:v>0.31</x:v>
      </x:c>
      <x:c r="AE224" s="55" t="n">
        <x:v>0.88</x:v>
      </x:c>
      <x:c r="AF224" s="55" t="n">
        <x:v>0.08</x:v>
      </x:c>
      <x:c r="AG224" s="53" t="str">
        <x:v>NBS China Statistical Yearbook 2025, Table 12-15</x:v>
      </x:c>
      <x:c r="AH224" s="53" t="str">
        <x:v>calibrated reconstruction; not historical author input</x:v>
      </x:c>
    </x:row>
    <x:row r="225" ht="32" hidden="0" customHeight="1">
      <x:c r="A225" s="48" t="str">
        <x:v>x_r28_s4_m2</x:v>
      </x:c>
      <x:c r="B225" s="48" t="str">
        <x:v>r28</x:v>
      </x:c>
      <x:c r="C225" s="48" t="str">
        <x:v>CN-GS</x:v>
      </x:c>
      <x:c r="D225" s="48" t="str">
        <x:v>Gansu</x:v>
      </x:c>
      <x:c r="E225" s="48" t="str">
        <x:v>甘肃</x:v>
      </x:c>
      <x:c r="F225" s="48" t="n">
        <x:v>4</x:v>
      </x:c>
      <x:c r="G225" s="48" t="str">
        <x:v>freshwater_aquaculture</x:v>
      </x:c>
      <x:c r="H225" s="48" t="str">
        <x:v>淡水养殖</x:v>
      </x:c>
      <x:c r="I225" s="48" t="n">
        <x:v>2</x:v>
      </x:c>
      <x:c r="J225" s="48" t="str">
        <x:v>deep_processing</x:v>
      </x:c>
      <x:c r="K225" s="48" t="str">
        <x:v>深加工</x:v>
      </x:c>
      <x:c r="L225" s="54" t="n">
        <x:v>17000</x:v>
      </x:c>
      <x:c r="M225" s="54" t="n">
        <x:v>16442.394454638124</x:v>
      </x:c>
      <x:c r="N225" s="55" t="n">
        <x:v>0.22</x:v>
      </x:c>
      <x:c r="O225" s="54" t="n">
        <x:v>3617.3267800203876</x:v>
      </x:c>
      <x:c r="P225" s="54" t="n">
        <x:v>4340.7921360244645</x:v>
      </x:c>
      <x:c r="Q225" s="55" t="n">
        <x:v>0.0002310567448182127</x:v>
      </x:c>
      <x:c r="R225" s="55" t="n">
        <x:v>0.3212096611692647</x:v>
      </x:c>
      <x:c r="S225" s="55" t="n">
        <x:v>0.65</x:v>
      </x:c>
      <x:c r="T225" s="55" t="n">
        <x:v>1.45</x:v>
      </x:c>
      <x:c r="U225" s="55" t="n">
        <x:v>0.5920022743129795</x:v>
      </x:c>
      <x:c r="V225" s="55" t="n">
        <x:v>0.7927992039904572</x:v>
      </x:c>
      <x:c r="W225" s="55" t="n">
        <x:v>0.6269695354977473</x:v>
      </x:c>
      <x:c r="X225" s="55" t="n">
        <x:v>0.9619091393506758</x:v>
      </x:c>
      <x:c r="Y225" s="54" t="n">
        <x:v>53435.859736869286</x:v>
      </x:c>
      <x:c r="Z225" s="54" t="n">
        <x:v>5227.584692847807</x:v>
      </x:c>
      <x:c r="AA225" s="54" t="n">
        <x:v>966.7550945039108</x:v>
      </x:c>
      <x:c r="AB225" s="55" t="n">
        <x:v>1.06</x:v>
      </x:c>
      <x:c r="AC225" s="55" t="n">
        <x:v>1.2</x:v>
      </x:c>
      <x:c r="AD225" s="55" t="n">
        <x:v>0.39</x:v>
      </x:c>
      <x:c r="AE225" s="55" t="n">
        <x:v>0.91</x:v>
      </x:c>
      <x:c r="AF225" s="55" t="n">
        <x:v>0.08</x:v>
      </x:c>
      <x:c r="AG225" s="53" t="str">
        <x:v>NBS China Statistical Yearbook 2025, Table 12-15</x:v>
      </x:c>
      <x:c r="AH225" s="53" t="str">
        <x:v>calibrated reconstruction; not historical author input</x:v>
      </x:c>
    </x:row>
    <x:row r="226" ht="32" hidden="0" customHeight="1">
      <x:c r="A226" s="48" t="str">
        <x:v>x_r29_s1_m1</x:v>
      </x:c>
      <x:c r="B226" s="48" t="str">
        <x:v>r29</x:v>
      </x:c>
      <x:c r="C226" s="48" t="str">
        <x:v>CN-QH</x:v>
      </x:c>
      <x:c r="D226" s="48" t="str">
        <x:v>Qinghai</x:v>
      </x:c>
      <x:c r="E226" s="48" t="str">
        <x:v>青海</x:v>
      </x:c>
      <x:c r="F226" s="48" t="n">
        <x:v>1</x:v>
      </x:c>
      <x:c r="G226" s="48" t="str">
        <x:v>marine_capture</x:v>
      </x:c>
      <x:c r="H226" s="48" t="str">
        <x:v>海洋捕捞</x:v>
      </x:c>
      <x:c r="I226" s="48" t="n">
        <x:v>1</x:v>
      </x:c>
      <x:c r="J226" s="48" t="str">
        <x:v>fresh_sales</x:v>
      </x:c>
      <x:c r="K226" s="48" t="str">
        <x:v>鲜销</x:v>
      </x:c>
      <x:c r="L226" s="54" t="n">
        <x:v>0</x:v>
      </x:c>
      <x:c r="M226" s="54" t="n">
        <x:v>0</x:v>
      </x:c>
      <x:c r="N226" s="55" t="n">
        <x:v>0.62</x:v>
      </x:c>
      <x:c r="O226" s="54" t="n">
        <x:v>0</x:v>
      </x:c>
      <x:c r="P226" s="54" t="n">
        <x:v>0</x:v>
      </x:c>
      <x:c r="Q226" s="55" t="n">
        <x:v>0.0002582398912674142</x:v>
      </x:c>
      <x:c r="R226" s="55" t="n">
        <x:v>0.364506626719303</x:v>
      </x:c>
      <x:c r="S226" s="55" t="n">
        <x:v>0.728978070387762</x:v>
      </x:c>
      <x:c r="T226" s="55" t="n">
        <x:v>1.3717833781585151</x:v>
      </x:c>
      <x:c r="U226" s="55" t="n">
        <x:v>0.6537572938238192</x:v>
      </x:c>
      <x:c r="V226" s="55" t="n">
        <x:v>0.7711849471616633</x:v>
      </x:c>
      <x:c r="W226" s="55" t="n">
        <x:v>0.31669361971435855</x:v>
      </x:c>
      <x:c r="X226" s="55" t="n">
        <x:v>1.0549919140856923</x:v>
      </x:c>
      <x:c r="Y226" s="54" t="n">
        <x:v>14677.934819880486</x:v>
      </x:c>
      <x:c r="Z226" s="54" t="n">
        <x:v>4588.181820958523</x:v>
      </x:c>
      <x:c r="AA226" s="54" t="n">
        <x:v>5629.9267268168915</x:v>
      </x:c>
      <x:c r="AB226" s="55" t="n">
        <x:v>0.65</x:v>
      </x:c>
      <x:c r="AC226" s="55" t="n">
        <x:v>0.62</x:v>
      </x:c>
      <x:c r="AD226" s="55" t="n">
        <x:v>0.29</x:v>
      </x:c>
      <x:c r="AE226" s="55" t="n">
        <x:v>0.28</x:v>
      </x:c>
      <x:c r="AF226" s="55" t="n">
        <x:v>1</x:v>
      </x:c>
      <x:c r="AG226" s="53" t="str">
        <x:v>NBS China Statistical Yearbook 2025, Table 12-15</x:v>
      </x:c>
      <x:c r="AH226" s="53" t="str">
        <x:v>calibrated reconstruction; not historical author input</x:v>
      </x:c>
    </x:row>
    <x:row r="227" ht="32" hidden="0" customHeight="1">
      <x:c r="A227" s="48" t="str">
        <x:v>x_r29_s1_m2</x:v>
      </x:c>
      <x:c r="B227" s="48" t="str">
        <x:v>r29</x:v>
      </x:c>
      <x:c r="C227" s="48" t="str">
        <x:v>CN-QH</x:v>
      </x:c>
      <x:c r="D227" s="48" t="str">
        <x:v>Qinghai</x:v>
      </x:c>
      <x:c r="E227" s="48" t="str">
        <x:v>青海</x:v>
      </x:c>
      <x:c r="F227" s="48" t="n">
        <x:v>1</x:v>
      </x:c>
      <x:c r="G227" s="48" t="str">
        <x:v>marine_capture</x:v>
      </x:c>
      <x:c r="H227" s="48" t="str">
        <x:v>海洋捕捞</x:v>
      </x:c>
      <x:c r="I227" s="48" t="n">
        <x:v>2</x:v>
      </x:c>
      <x:c r="J227" s="48" t="str">
        <x:v>deep_processing</x:v>
      </x:c>
      <x:c r="K227" s="48" t="str">
        <x:v>深加工</x:v>
      </x:c>
      <x:c r="L227" s="54" t="n">
        <x:v>0</x:v>
      </x:c>
      <x:c r="M227" s="54" t="n">
        <x:v>0</x:v>
      </x:c>
      <x:c r="N227" s="55" t="n">
        <x:v>0.38</x:v>
      </x:c>
      <x:c r="O227" s="54" t="n">
        <x:v>0</x:v>
      </x:c>
      <x:c r="P227" s="54" t="n">
        <x:v>0</x:v>
      </x:c>
      <x:c r="Q227" s="55" t="n">
        <x:v>0.0002582398912674142</x:v>
      </x:c>
      <x:c r="R227" s="55" t="n">
        <x:v>0.364506626719303</x:v>
      </x:c>
      <x:c r="S227" s="55" t="n">
        <x:v>0.728978070387762</x:v>
      </x:c>
      <x:c r="T227" s="55" t="n">
        <x:v>1.3717833781585151</x:v>
      </x:c>
      <x:c r="U227" s="55" t="n">
        <x:v>0.6537572938238192</x:v>
      </x:c>
      <x:c r="V227" s="55" t="n">
        <x:v>0.7711849471616633</x:v>
      </x:c>
      <x:c r="W227" s="55" t="n">
        <x:v>0.31669361971435855</x:v>
      </x:c>
      <x:c r="X227" s="55" t="n">
        <x:v>1.0549919140856923</x:v>
      </x:c>
      <x:c r="Y227" s="54" t="n">
        <x:v>14677.934819880486</x:v>
      </x:c>
      <x:c r="Z227" s="54" t="n">
        <x:v>4588.181820958523</x:v>
      </x:c>
      <x:c r="AA227" s="54" t="n">
        <x:v>5629.9267268168915</x:v>
      </x:c>
      <x:c r="AB227" s="55" t="n">
        <x:v>0.82</x:v>
      </x:c>
      <x:c r="AC227" s="55" t="n">
        <x:v>0.95</x:v>
      </x:c>
      <x:c r="AD227" s="55" t="n">
        <x:v>0.36</x:v>
      </x:c>
      <x:c r="AE227" s="55" t="n">
        <x:v>0.31</x:v>
      </x:c>
      <x:c r="AF227" s="55" t="n">
        <x:v>1</x:v>
      </x:c>
      <x:c r="AG227" s="53" t="str">
        <x:v>NBS China Statistical Yearbook 2025, Table 12-15</x:v>
      </x:c>
      <x:c r="AH227" s="53" t="str">
        <x:v>calibrated reconstruction; not historical author input</x:v>
      </x:c>
    </x:row>
    <x:row r="228" ht="32" hidden="0" customHeight="1">
      <x:c r="A228" s="48" t="str">
        <x:v>x_r29_s2_m1</x:v>
      </x:c>
      <x:c r="B228" s="48" t="str">
        <x:v>r29</x:v>
      </x:c>
      <x:c r="C228" s="48" t="str">
        <x:v>CN-QH</x:v>
      </x:c>
      <x:c r="D228" s="48" t="str">
        <x:v>Qinghai</x:v>
      </x:c>
      <x:c r="E228" s="48" t="str">
        <x:v>青海</x:v>
      </x:c>
      <x:c r="F228" s="48" t="n">
        <x:v>2</x:v>
      </x:c>
      <x:c r="G228" s="48" t="str">
        <x:v>freshwater_capture</x:v>
      </x:c>
      <x:c r="H228" s="48" t="str">
        <x:v>淡水捕捞</x:v>
      </x:c>
      <x:c r="I228" s="48" t="n">
        <x:v>1</x:v>
      </x:c>
      <x:c r="J228" s="48" t="str">
        <x:v>fresh_sales</x:v>
      </x:c>
      <x:c r="K228" s="48" t="str">
        <x:v>鲜销</x:v>
      </x:c>
      <x:c r="L228" s="54" t="n">
        <x:v>4000</x:v>
      </x:c>
      <x:c r="M228" s="54" t="n">
        <x:v>3868.7986952089705</x:v>
      </x:c>
      <x:c r="N228" s="55" t="n">
        <x:v>0.67</x:v>
      </x:c>
      <x:c r="O228" s="54" t="n">
        <x:v>2592.0951257900106</x:v>
      </x:c>
      <x:c r="P228" s="54" t="n">
        <x:v>3110.5141509480127</x:v>
      </x:c>
      <x:c r="Q228" s="55" t="n">
        <x:v>0.0002582398912674142</x:v>
      </x:c>
      <x:c r="R228" s="55" t="n">
        <x:v>0.364506626719303</x:v>
      </x:c>
      <x:c r="S228" s="55" t="n">
        <x:v>0.728978070387762</x:v>
      </x:c>
      <x:c r="T228" s="55" t="n">
        <x:v>1.3717833781585151</x:v>
      </x:c>
      <x:c r="U228" s="55" t="n">
        <x:v>0.6537572938238192</x:v>
      </x:c>
      <x:c r="V228" s="55" t="n">
        <x:v>0.7711849471616633</x:v>
      </x:c>
      <x:c r="W228" s="55" t="n">
        <x:v>0.31669361971435855</x:v>
      </x:c>
      <x:c r="X228" s="55" t="n">
        <x:v>1.0549919140856923</x:v>
      </x:c>
      <x:c r="Y228" s="54" t="n">
        <x:v>14677.934819880486</x:v>
      </x:c>
      <x:c r="Z228" s="54" t="n">
        <x:v>4588.181820958523</x:v>
      </x:c>
      <x:c r="AA228" s="54" t="n">
        <x:v>5629.9267268168915</x:v>
      </x:c>
      <x:c r="AB228" s="55" t="n">
        <x:v>0.7</x:v>
      </x:c>
      <x:c r="AC228" s="55" t="n">
        <x:v>0.67</x:v>
      </x:c>
      <x:c r="AD228" s="55" t="n">
        <x:v>0.26</x:v>
      </x:c>
      <x:c r="AE228" s="55" t="n">
        <x:v>0.42</x:v>
      </x:c>
      <x:c r="AF228" s="55" t="n">
        <x:v>0.7</x:v>
      </x:c>
      <x:c r="AG228" s="53" t="str">
        <x:v>NBS China Statistical Yearbook 2025, Table 12-15</x:v>
      </x:c>
      <x:c r="AH228" s="53" t="str">
        <x:v>calibrated reconstruction; not historical author input</x:v>
      </x:c>
    </x:row>
    <x:row r="229" ht="32" hidden="0" customHeight="1">
      <x:c r="A229" s="48" t="str">
        <x:v>x_r29_s2_m2</x:v>
      </x:c>
      <x:c r="B229" s="48" t="str">
        <x:v>r29</x:v>
      </x:c>
      <x:c r="C229" s="48" t="str">
        <x:v>CN-QH</x:v>
      </x:c>
      <x:c r="D229" s="48" t="str">
        <x:v>Qinghai</x:v>
      </x:c>
      <x:c r="E229" s="48" t="str">
        <x:v>青海</x:v>
      </x:c>
      <x:c r="F229" s="48" t="n">
        <x:v>2</x:v>
      </x:c>
      <x:c r="G229" s="48" t="str">
        <x:v>freshwater_capture</x:v>
      </x:c>
      <x:c r="H229" s="48" t="str">
        <x:v>淡水捕捞</x:v>
      </x:c>
      <x:c r="I229" s="48" t="n">
        <x:v>2</x:v>
      </x:c>
      <x:c r="J229" s="48" t="str">
        <x:v>deep_processing</x:v>
      </x:c>
      <x:c r="K229" s="48" t="str">
        <x:v>深加工</x:v>
      </x:c>
      <x:c r="L229" s="54" t="n">
        <x:v>4000</x:v>
      </x:c>
      <x:c r="M229" s="54" t="n">
        <x:v>3868.7986952089705</x:v>
      </x:c>
      <x:c r="N229" s="55" t="n">
        <x:v>0.33</x:v>
      </x:c>
      <x:c r="O229" s="54" t="n">
        <x:v>1276.7035694189603</x:v>
      </x:c>
      <x:c r="P229" s="54" t="n">
        <x:v>1532.0442833027523</x:v>
      </x:c>
      <x:c r="Q229" s="55" t="n">
        <x:v>0.0002582398912674142</x:v>
      </x:c>
      <x:c r="R229" s="55" t="n">
        <x:v>0.364506626719303</x:v>
      </x:c>
      <x:c r="S229" s="55" t="n">
        <x:v>0.728978070387762</x:v>
      </x:c>
      <x:c r="T229" s="55" t="n">
        <x:v>1.3717833781585151</x:v>
      </x:c>
      <x:c r="U229" s="55" t="n">
        <x:v>0.6537572938238192</x:v>
      </x:c>
      <x:c r="V229" s="55" t="n">
        <x:v>0.7711849471616633</x:v>
      </x:c>
      <x:c r="W229" s="55" t="n">
        <x:v>0.31669361971435855</x:v>
      </x:c>
      <x:c r="X229" s="55" t="n">
        <x:v>1.0549919140856923</x:v>
      </x:c>
      <x:c r="Y229" s="54" t="n">
        <x:v>14677.934819880486</x:v>
      </x:c>
      <x:c r="Z229" s="54" t="n">
        <x:v>4588.181820958523</x:v>
      </x:c>
      <x:c r="AA229" s="54" t="n">
        <x:v>5629.9267268168915</x:v>
      </x:c>
      <x:c r="AB229" s="55" t="n">
        <x:v>0.86</x:v>
      </x:c>
      <x:c r="AC229" s="55" t="n">
        <x:v>0.99</x:v>
      </x:c>
      <x:c r="AD229" s="55" t="n">
        <x:v>0.34</x:v>
      </x:c>
      <x:c r="AE229" s="55" t="n">
        <x:v>0.45</x:v>
      </x:c>
      <x:c r="AF229" s="55" t="n">
        <x:v>0.7</x:v>
      </x:c>
      <x:c r="AG229" s="53" t="str">
        <x:v>NBS China Statistical Yearbook 2025, Table 12-15</x:v>
      </x:c>
      <x:c r="AH229" s="53" t="str">
        <x:v>calibrated reconstruction; not historical author input</x:v>
      </x:c>
    </x:row>
    <x:row r="230" ht="32" hidden="0" customHeight="1">
      <x:c r="A230" s="48" t="str">
        <x:v>x_r29_s3_m1</x:v>
      </x:c>
      <x:c r="B230" s="48" t="str">
        <x:v>r29</x:v>
      </x:c>
      <x:c r="C230" s="48" t="str">
        <x:v>CN-QH</x:v>
      </x:c>
      <x:c r="D230" s="48" t="str">
        <x:v>Qinghai</x:v>
      </x:c>
      <x:c r="E230" s="48" t="str">
        <x:v>青海</x:v>
      </x:c>
      <x:c r="F230" s="48" t="n">
        <x:v>3</x:v>
      </x:c>
      <x:c r="G230" s="48" t="str">
        <x:v>marine_aquaculture</x:v>
      </x:c>
      <x:c r="H230" s="48" t="str">
        <x:v>海水养殖</x:v>
      </x:c>
      <x:c r="I230" s="48" t="n">
        <x:v>1</x:v>
      </x:c>
      <x:c r="J230" s="48" t="str">
        <x:v>fresh_sales</x:v>
      </x:c>
      <x:c r="K230" s="48" t="str">
        <x:v>鲜销</x:v>
      </x:c>
      <x:c r="L230" s="54" t="n">
        <x:v>0</x:v>
      </x:c>
      <x:c r="M230" s="54" t="n">
        <x:v>0</x:v>
      </x:c>
      <x:c r="N230" s="55" t="n">
        <x:v>0.74</x:v>
      </x:c>
      <x:c r="O230" s="54" t="n">
        <x:v>0</x:v>
      </x:c>
      <x:c r="P230" s="54" t="n">
        <x:v>0</x:v>
      </x:c>
      <x:c r="Q230" s="55" t="n">
        <x:v>0.0002582398912674142</x:v>
      </x:c>
      <x:c r="R230" s="55" t="n">
        <x:v>0.364506626719303</x:v>
      </x:c>
      <x:c r="S230" s="55" t="n">
        <x:v>0.728978070387762</x:v>
      </x:c>
      <x:c r="T230" s="55" t="n">
        <x:v>1.3717833781585151</x:v>
      </x:c>
      <x:c r="U230" s="55" t="n">
        <x:v>0.6537572938238192</x:v>
      </x:c>
      <x:c r="V230" s="55" t="n">
        <x:v>0.7711849471616633</x:v>
      </x:c>
      <x:c r="W230" s="55" t="n">
        <x:v>0.31669361971435855</x:v>
      </x:c>
      <x:c r="X230" s="55" t="n">
        <x:v>1.0549919140856923</x:v>
      </x:c>
      <x:c r="Y230" s="54" t="n">
        <x:v>14677.934819880486</x:v>
      </x:c>
      <x:c r="Z230" s="54" t="n">
        <x:v>4588.181820958523</x:v>
      </x:c>
      <x:c r="AA230" s="54" t="n">
        <x:v>5629.9267268168915</x:v>
      </x:c>
      <x:c r="AB230" s="55" t="n">
        <x:v>0.84</x:v>
      </x:c>
      <x:c r="AC230" s="55" t="n">
        <x:v>0.8</x:v>
      </x:c>
      <x:c r="AD230" s="55" t="n">
        <x:v>0.33</x:v>
      </x:c>
      <x:c r="AE230" s="55" t="n">
        <x:v>0.78</x:v>
      </x:c>
      <x:c r="AF230" s="55" t="n">
        <x:v>0.11</x:v>
      </x:c>
      <x:c r="AG230" s="53" t="str">
        <x:v>NBS China Statistical Yearbook 2025, Table 12-15</x:v>
      </x:c>
      <x:c r="AH230" s="53" t="str">
        <x:v>calibrated reconstruction; not historical author input</x:v>
      </x:c>
    </x:row>
    <x:row r="231" ht="32" hidden="0" customHeight="1">
      <x:c r="A231" s="48" t="str">
        <x:v>x_r29_s3_m2</x:v>
      </x:c>
      <x:c r="B231" s="48" t="str">
        <x:v>r29</x:v>
      </x:c>
      <x:c r="C231" s="48" t="str">
        <x:v>CN-QH</x:v>
      </x:c>
      <x:c r="D231" s="48" t="str">
        <x:v>Qinghai</x:v>
      </x:c>
      <x:c r="E231" s="48" t="str">
        <x:v>青海</x:v>
      </x:c>
      <x:c r="F231" s="48" t="n">
        <x:v>3</x:v>
      </x:c>
      <x:c r="G231" s="48" t="str">
        <x:v>marine_aquaculture</x:v>
      </x:c>
      <x:c r="H231" s="48" t="str">
        <x:v>海水养殖</x:v>
      </x:c>
      <x:c r="I231" s="48" t="n">
        <x:v>2</x:v>
      </x:c>
      <x:c r="J231" s="48" t="str">
        <x:v>deep_processing</x:v>
      </x:c>
      <x:c r="K231" s="48" t="str">
        <x:v>深加工</x:v>
      </x:c>
      <x:c r="L231" s="54" t="n">
        <x:v>0</x:v>
      </x:c>
      <x:c r="M231" s="54" t="n">
        <x:v>0</x:v>
      </x:c>
      <x:c r="N231" s="55" t="n">
        <x:v>0.26</x:v>
      </x:c>
      <x:c r="O231" s="54" t="n">
        <x:v>0</x:v>
      </x:c>
      <x:c r="P231" s="54" t="n">
        <x:v>0</x:v>
      </x:c>
      <x:c r="Q231" s="55" t="n">
        <x:v>0.0002582398912674142</x:v>
      </x:c>
      <x:c r="R231" s="55" t="n">
        <x:v>0.364506626719303</x:v>
      </x:c>
      <x:c r="S231" s="55" t="n">
        <x:v>0.728978070387762</x:v>
      </x:c>
      <x:c r="T231" s="55" t="n">
        <x:v>1.3717833781585151</x:v>
      </x:c>
      <x:c r="U231" s="55" t="n">
        <x:v>0.6537572938238192</x:v>
      </x:c>
      <x:c r="V231" s="55" t="n">
        <x:v>0.7711849471616633</x:v>
      </x:c>
      <x:c r="W231" s="55" t="n">
        <x:v>0.31669361971435855</x:v>
      </x:c>
      <x:c r="X231" s="55" t="n">
        <x:v>1.0549919140856923</x:v>
      </x:c>
      <x:c r="Y231" s="54" t="n">
        <x:v>14677.934819880486</x:v>
      </x:c>
      <x:c r="Z231" s="54" t="n">
        <x:v>4588.181820958523</x:v>
      </x:c>
      <x:c r="AA231" s="54" t="n">
        <x:v>5629.9267268168915</x:v>
      </x:c>
      <x:c r="AB231" s="55" t="n">
        <x:v>1.02</x:v>
      </x:c>
      <x:c r="AC231" s="55" t="n">
        <x:v>1.16</x:v>
      </x:c>
      <x:c r="AD231" s="55" t="n">
        <x:v>0.41</x:v>
      </x:c>
      <x:c r="AE231" s="55" t="n">
        <x:v>0.81</x:v>
      </x:c>
      <x:c r="AF231" s="55" t="n">
        <x:v>0.11</x:v>
      </x:c>
      <x:c r="AG231" s="53" t="str">
        <x:v>NBS China Statistical Yearbook 2025, Table 12-15</x:v>
      </x:c>
      <x:c r="AH231" s="53" t="str">
        <x:v>calibrated reconstruction; not historical author input</x:v>
      </x:c>
    </x:row>
    <x:row r="232" ht="32" hidden="0" customHeight="1">
      <x:c r="A232" s="48" t="str">
        <x:v>x_r29_s4_m1</x:v>
      </x:c>
      <x:c r="B232" s="48" t="str">
        <x:v>r29</x:v>
      </x:c>
      <x:c r="C232" s="48" t="str">
        <x:v>CN-QH</x:v>
      </x:c>
      <x:c r="D232" s="48" t="str">
        <x:v>Qinghai</x:v>
      </x:c>
      <x:c r="E232" s="48" t="str">
        <x:v>青海</x:v>
      </x:c>
      <x:c r="F232" s="48" t="n">
        <x:v>4</x:v>
      </x:c>
      <x:c r="G232" s="48" t="str">
        <x:v>freshwater_aquaculture</x:v>
      </x:c>
      <x:c r="H232" s="48" t="str">
        <x:v>淡水养殖</x:v>
      </x:c>
      <x:c r="I232" s="48" t="n">
        <x:v>1</x:v>
      </x:c>
      <x:c r="J232" s="48" t="str">
        <x:v>fresh_sales</x:v>
      </x:c>
      <x:c r="K232" s="48" t="str">
        <x:v>鲜销</x:v>
      </x:c>
      <x:c r="L232" s="54" t="n">
        <x:v>15000</x:v>
      </x:c>
      <x:c r="M232" s="54" t="n">
        <x:v>14507.99510703364</x:v>
      </x:c>
      <x:c r="N232" s="55" t="n">
        <x:v>0.78</x:v>
      </x:c>
      <x:c r="O232" s="54" t="n">
        <x:v>11316.236183486239</x:v>
      </x:c>
      <x:c r="P232" s="54" t="n">
        <x:v>13579.483420183486</x:v>
      </x:c>
      <x:c r="Q232" s="55" t="n">
        <x:v>0.0002582398912674142</x:v>
      </x:c>
      <x:c r="R232" s="55" t="n">
        <x:v>0.364506626719303</x:v>
      </x:c>
      <x:c r="S232" s="55" t="n">
        <x:v>0.728978070387762</x:v>
      </x:c>
      <x:c r="T232" s="55" t="n">
        <x:v>1.3717833781585151</x:v>
      </x:c>
      <x:c r="U232" s="55" t="n">
        <x:v>0.6537572938238192</x:v>
      </x:c>
      <x:c r="V232" s="55" t="n">
        <x:v>0.7711849471616633</x:v>
      </x:c>
      <x:c r="W232" s="55" t="n">
        <x:v>0.31669361971435855</x:v>
      </x:c>
      <x:c r="X232" s="55" t="n">
        <x:v>1.0549919140856923</x:v>
      </x:c>
      <x:c r="Y232" s="54" t="n">
        <x:v>14677.934819880486</x:v>
      </x:c>
      <x:c r="Z232" s="54" t="n">
        <x:v>4588.181820958523</x:v>
      </x:c>
      <x:c r="AA232" s="54" t="n">
        <x:v>5629.9267268168915</x:v>
      </x:c>
      <x:c r="AB232" s="55" t="n">
        <x:v>0.88</x:v>
      </x:c>
      <x:c r="AC232" s="55" t="n">
        <x:v>0.84</x:v>
      </x:c>
      <x:c r="AD232" s="55" t="n">
        <x:v>0.31</x:v>
      </x:c>
      <x:c r="AE232" s="55" t="n">
        <x:v>0.88</x:v>
      </x:c>
      <x:c r="AF232" s="55" t="n">
        <x:v>0.08</x:v>
      </x:c>
      <x:c r="AG232" s="53" t="str">
        <x:v>NBS China Statistical Yearbook 2025, Table 12-15</x:v>
      </x:c>
      <x:c r="AH232" s="53" t="str">
        <x:v>calibrated reconstruction; not historical author input</x:v>
      </x:c>
    </x:row>
    <x:row r="233" ht="32" hidden="0" customHeight="1">
      <x:c r="A233" s="48" t="str">
        <x:v>x_r29_s4_m2</x:v>
      </x:c>
      <x:c r="B233" s="48" t="str">
        <x:v>r29</x:v>
      </x:c>
      <x:c r="C233" s="48" t="str">
        <x:v>CN-QH</x:v>
      </x:c>
      <x:c r="D233" s="48" t="str">
        <x:v>Qinghai</x:v>
      </x:c>
      <x:c r="E233" s="48" t="str">
        <x:v>青海</x:v>
      </x:c>
      <x:c r="F233" s="48" t="n">
        <x:v>4</x:v>
      </x:c>
      <x:c r="G233" s="48" t="str">
        <x:v>freshwater_aquaculture</x:v>
      </x:c>
      <x:c r="H233" s="48" t="str">
        <x:v>淡水养殖</x:v>
      </x:c>
      <x:c r="I233" s="48" t="n">
        <x:v>2</x:v>
      </x:c>
      <x:c r="J233" s="48" t="str">
        <x:v>deep_processing</x:v>
      </x:c>
      <x:c r="K233" s="48" t="str">
        <x:v>深加工</x:v>
      </x:c>
      <x:c r="L233" s="54" t="n">
        <x:v>15000</x:v>
      </x:c>
      <x:c r="M233" s="54" t="n">
        <x:v>14507.99510703364</x:v>
      </x:c>
      <x:c r="N233" s="55" t="n">
        <x:v>0.22</x:v>
      </x:c>
      <x:c r="O233" s="54" t="n">
        <x:v>3191.7589235474006</x:v>
      </x:c>
      <x:c r="P233" s="54" t="n">
        <x:v>3830.1107082568806</x:v>
      </x:c>
      <x:c r="Q233" s="55" t="n">
        <x:v>0.0002582398912674142</x:v>
      </x:c>
      <x:c r="R233" s="55" t="n">
        <x:v>0.364506626719303</x:v>
      </x:c>
      <x:c r="S233" s="55" t="n">
        <x:v>0.728978070387762</x:v>
      </x:c>
      <x:c r="T233" s="55" t="n">
        <x:v>1.3717833781585151</x:v>
      </x:c>
      <x:c r="U233" s="55" t="n">
        <x:v>0.6537572938238192</x:v>
      </x:c>
      <x:c r="V233" s="55" t="n">
        <x:v>0.7711849471616633</x:v>
      </x:c>
      <x:c r="W233" s="55" t="n">
        <x:v>0.31669361971435855</x:v>
      </x:c>
      <x:c r="X233" s="55" t="n">
        <x:v>1.0549919140856923</x:v>
      </x:c>
      <x:c r="Y233" s="54" t="n">
        <x:v>14677.934819880486</x:v>
      </x:c>
      <x:c r="Z233" s="54" t="n">
        <x:v>4588.181820958523</x:v>
      </x:c>
      <x:c r="AA233" s="54" t="n">
        <x:v>5629.9267268168915</x:v>
      </x:c>
      <x:c r="AB233" s="55" t="n">
        <x:v>1.06</x:v>
      </x:c>
      <x:c r="AC233" s="55" t="n">
        <x:v>1.2</x:v>
      </x:c>
      <x:c r="AD233" s="55" t="n">
        <x:v>0.39</x:v>
      </x:c>
      <x:c r="AE233" s="55" t="n">
        <x:v>0.91</x:v>
      </x:c>
      <x:c r="AF233" s="55" t="n">
        <x:v>0.08</x:v>
      </x:c>
      <x:c r="AG233" s="53" t="str">
        <x:v>NBS China Statistical Yearbook 2025, Table 12-15</x:v>
      </x:c>
      <x:c r="AH233" s="53" t="str">
        <x:v>calibrated reconstruction; not historical author input</x:v>
      </x:c>
    </x:row>
    <x:row r="234" ht="32" hidden="0" customHeight="1">
      <x:c r="A234" s="48" t="str">
        <x:v>x_r30_s1_m1</x:v>
      </x:c>
      <x:c r="B234" s="48" t="str">
        <x:v>r30</x:v>
      </x:c>
      <x:c r="C234" s="48" t="str">
        <x:v>CN-NX</x:v>
      </x:c>
      <x:c r="D234" s="48" t="str">
        <x:v>Ningxia</x:v>
      </x:c>
      <x:c r="E234" s="48" t="str">
        <x:v>宁夏</x:v>
      </x:c>
      <x:c r="F234" s="48" t="n">
        <x:v>1</x:v>
      </x:c>
      <x:c r="G234" s="48" t="str">
        <x:v>marine_capture</x:v>
      </x:c>
      <x:c r="H234" s="48" t="str">
        <x:v>海洋捕捞</x:v>
      </x:c>
      <x:c r="I234" s="48" t="n">
        <x:v>1</x:v>
      </x:c>
      <x:c r="J234" s="48" t="str">
        <x:v>fresh_sales</x:v>
      </x:c>
      <x:c r="K234" s="48" t="str">
        <x:v>鲜销</x:v>
      </x:c>
      <x:c r="L234" s="54" t="n">
        <x:v>0</x:v>
      </x:c>
      <x:c r="M234" s="54" t="n">
        <x:v>0</x:v>
      </x:c>
      <x:c r="N234" s="55" t="n">
        <x:v>0.62</x:v>
      </x:c>
      <x:c r="O234" s="54" t="n">
        <x:v>0</x:v>
      </x:c>
      <x:c r="P234" s="54" t="n">
        <x:v>0</x:v>
      </x:c>
      <x:c r="Q234" s="55" t="n">
        <x:v>0.002432891607203534</x:v>
      </x:c>
      <x:c r="R234" s="55" t="n">
        <x:v>0.38996584680694857</x:v>
      </x:c>
      <x:c r="S234" s="55" t="n">
        <x:v>0.8073534395120299</x:v>
      </x:c>
      <x:c r="T234" s="55" t="n">
        <x:v>1.2386149003147955</x:v>
      </x:c>
      <x:c r="U234" s="55" t="n">
        <x:v>0.591671610826583</x:v>
      </x:c>
      <x:c r="V234" s="55" t="n">
        <x:v>0.792914936210696</x:v>
      </x:c>
      <x:c r="W234" s="55" t="n">
        <x:v>0.543503247697986</x:v>
      </x:c>
      <x:c r="X234" s="55" t="n">
        <x:v>0.9869490256906042</x:v>
      </x:c>
      <x:c r="Y234" s="54" t="n">
        <x:v>36705.91631642474</x:v>
      </x:c>
      <x:c r="Z234" s="54" t="n">
        <x:v>51864.30082365826</x:v>
      </x:c>
      <x:c r="AA234" s="54" t="n">
        <x:v>18140.875008632207</x:v>
      </x:c>
      <x:c r="AB234" s="55" t="n">
        <x:v>0.65</x:v>
      </x:c>
      <x:c r="AC234" s="55" t="n">
        <x:v>0.62</x:v>
      </x:c>
      <x:c r="AD234" s="55" t="n">
        <x:v>0.29</x:v>
      </x:c>
      <x:c r="AE234" s="55" t="n">
        <x:v>0.28</x:v>
      </x:c>
      <x:c r="AF234" s="55" t="n">
        <x:v>1</x:v>
      </x:c>
      <x:c r="AG234" s="53" t="str">
        <x:v>NBS China Statistical Yearbook 2025, Table 12-15</x:v>
      </x:c>
      <x:c r="AH234" s="53" t="str">
        <x:v>calibrated reconstruction; not historical author input</x:v>
      </x:c>
    </x:row>
    <x:row r="235" ht="32" hidden="0" customHeight="1">
      <x:c r="A235" s="48" t="str">
        <x:v>x_r30_s1_m2</x:v>
      </x:c>
      <x:c r="B235" s="48" t="str">
        <x:v>r30</x:v>
      </x:c>
      <x:c r="C235" s="48" t="str">
        <x:v>CN-NX</x:v>
      </x:c>
      <x:c r="D235" s="48" t="str">
        <x:v>Ningxia</x:v>
      </x:c>
      <x:c r="E235" s="48" t="str">
        <x:v>宁夏</x:v>
      </x:c>
      <x:c r="F235" s="48" t="n">
        <x:v>1</x:v>
      </x:c>
      <x:c r="G235" s="48" t="str">
        <x:v>marine_capture</x:v>
      </x:c>
      <x:c r="H235" s="48" t="str">
        <x:v>海洋捕捞</x:v>
      </x:c>
      <x:c r="I235" s="48" t="n">
        <x:v>2</x:v>
      </x:c>
      <x:c r="J235" s="48" t="str">
        <x:v>deep_processing</x:v>
      </x:c>
      <x:c r="K235" s="48" t="str">
        <x:v>深加工</x:v>
      </x:c>
      <x:c r="L235" s="54" t="n">
        <x:v>0</x:v>
      </x:c>
      <x:c r="M235" s="54" t="n">
        <x:v>0</x:v>
      </x:c>
      <x:c r="N235" s="55" t="n">
        <x:v>0.38</x:v>
      </x:c>
      <x:c r="O235" s="54" t="n">
        <x:v>0</x:v>
      </x:c>
      <x:c r="P235" s="54" t="n">
        <x:v>0</x:v>
      </x:c>
      <x:c r="Q235" s="55" t="n">
        <x:v>0.002432891607203534</x:v>
      </x:c>
      <x:c r="R235" s="55" t="n">
        <x:v>0.38996584680694857</x:v>
      </x:c>
      <x:c r="S235" s="55" t="n">
        <x:v>0.8073534395120299</x:v>
      </x:c>
      <x:c r="T235" s="55" t="n">
        <x:v>1.2386149003147955</x:v>
      </x:c>
      <x:c r="U235" s="55" t="n">
        <x:v>0.591671610826583</x:v>
      </x:c>
      <x:c r="V235" s="55" t="n">
        <x:v>0.792914936210696</x:v>
      </x:c>
      <x:c r="W235" s="55" t="n">
        <x:v>0.543503247697986</x:v>
      </x:c>
      <x:c r="X235" s="55" t="n">
        <x:v>0.9869490256906042</x:v>
      </x:c>
      <x:c r="Y235" s="54" t="n">
        <x:v>36705.91631642474</x:v>
      </x:c>
      <x:c r="Z235" s="54" t="n">
        <x:v>51864.30082365826</x:v>
      </x:c>
      <x:c r="AA235" s="54" t="n">
        <x:v>18140.875008632207</x:v>
      </x:c>
      <x:c r="AB235" s="55" t="n">
        <x:v>0.82</x:v>
      </x:c>
      <x:c r="AC235" s="55" t="n">
        <x:v>0.95</x:v>
      </x:c>
      <x:c r="AD235" s="55" t="n">
        <x:v>0.36</x:v>
      </x:c>
      <x:c r="AE235" s="55" t="n">
        <x:v>0.31</x:v>
      </x:c>
      <x:c r="AF235" s="55" t="n">
        <x:v>1</x:v>
      </x:c>
      <x:c r="AG235" s="53" t="str">
        <x:v>NBS China Statistical Yearbook 2025, Table 12-15</x:v>
      </x:c>
      <x:c r="AH235" s="53" t="str">
        <x:v>calibrated reconstruction; not historical author input</x:v>
      </x:c>
    </x:row>
    <x:row r="236" ht="32" hidden="0" customHeight="1">
      <x:c r="A236" s="48" t="str">
        <x:v>x_r30_s2_m1</x:v>
      </x:c>
      <x:c r="B236" s="48" t="str">
        <x:v>r30</x:v>
      </x:c>
      <x:c r="C236" s="48" t="str">
        <x:v>CN-NX</x:v>
      </x:c>
      <x:c r="D236" s="48" t="str">
        <x:v>Ningxia</x:v>
      </x:c>
      <x:c r="E236" s="48" t="str">
        <x:v>宁夏</x:v>
      </x:c>
      <x:c r="F236" s="48" t="n">
        <x:v>2</x:v>
      </x:c>
      <x:c r="G236" s="48" t="str">
        <x:v>freshwater_capture</x:v>
      </x:c>
      <x:c r="H236" s="48" t="str">
        <x:v>淡水捕捞</x:v>
      </x:c>
      <x:c r="I236" s="48" t="n">
        <x:v>1</x:v>
      </x:c>
      <x:c r="J236" s="48" t="str">
        <x:v>fresh_sales</x:v>
      </x:c>
      <x:c r="K236" s="48" t="str">
        <x:v>鲜销</x:v>
      </x:c>
      <x:c r="L236" s="54" t="n">
        <x:v>7000</x:v>
      </x:c>
      <x:c r="M236" s="54" t="n">
        <x:v>6770.397716615698</x:v>
      </x:c>
      <x:c r="N236" s="55" t="n">
        <x:v>0.67</x:v>
      </x:c>
      <x:c r="O236" s="54" t="n">
        <x:v>4536.166470132518</x:v>
      </x:c>
      <x:c r="P236" s="54" t="n">
        <x:v>5443.399764159021</x:v>
      </x:c>
      <x:c r="Q236" s="55" t="n">
        <x:v>0.002432891607203534</x:v>
      </x:c>
      <x:c r="R236" s="55" t="n">
        <x:v>0.38996584680694857</x:v>
      </x:c>
      <x:c r="S236" s="55" t="n">
        <x:v>0.8073534395120299</x:v>
      </x:c>
      <x:c r="T236" s="55" t="n">
        <x:v>1.2386149003147955</x:v>
      </x:c>
      <x:c r="U236" s="55" t="n">
        <x:v>0.591671610826583</x:v>
      </x:c>
      <x:c r="V236" s="55" t="n">
        <x:v>0.792914936210696</x:v>
      </x:c>
      <x:c r="W236" s="55" t="n">
        <x:v>0.543503247697986</x:v>
      </x:c>
      <x:c r="X236" s="55" t="n">
        <x:v>0.9869490256906042</x:v>
      </x:c>
      <x:c r="Y236" s="54" t="n">
        <x:v>36705.91631642474</x:v>
      </x:c>
      <x:c r="Z236" s="54" t="n">
        <x:v>51864.30082365826</x:v>
      </x:c>
      <x:c r="AA236" s="54" t="n">
        <x:v>18140.875008632207</x:v>
      </x:c>
      <x:c r="AB236" s="55" t="n">
        <x:v>0.7</x:v>
      </x:c>
      <x:c r="AC236" s="55" t="n">
        <x:v>0.67</x:v>
      </x:c>
      <x:c r="AD236" s="55" t="n">
        <x:v>0.26</x:v>
      </x:c>
      <x:c r="AE236" s="55" t="n">
        <x:v>0.42</x:v>
      </x:c>
      <x:c r="AF236" s="55" t="n">
        <x:v>0.7</x:v>
      </x:c>
      <x:c r="AG236" s="53" t="str">
        <x:v>NBS China Statistical Yearbook 2025, Table 12-15</x:v>
      </x:c>
      <x:c r="AH236" s="53" t="str">
        <x:v>calibrated reconstruction; not historical author input</x:v>
      </x:c>
    </x:row>
    <x:row r="237" ht="32" hidden="0" customHeight="1">
      <x:c r="A237" s="48" t="str">
        <x:v>x_r30_s2_m2</x:v>
      </x:c>
      <x:c r="B237" s="48" t="str">
        <x:v>r30</x:v>
      </x:c>
      <x:c r="C237" s="48" t="str">
        <x:v>CN-NX</x:v>
      </x:c>
      <x:c r="D237" s="48" t="str">
        <x:v>Ningxia</x:v>
      </x:c>
      <x:c r="E237" s="48" t="str">
        <x:v>宁夏</x:v>
      </x:c>
      <x:c r="F237" s="48" t="n">
        <x:v>2</x:v>
      </x:c>
      <x:c r="G237" s="48" t="str">
        <x:v>freshwater_capture</x:v>
      </x:c>
      <x:c r="H237" s="48" t="str">
        <x:v>淡水捕捞</x:v>
      </x:c>
      <x:c r="I237" s="48" t="n">
        <x:v>2</x:v>
      </x:c>
      <x:c r="J237" s="48" t="str">
        <x:v>deep_processing</x:v>
      </x:c>
      <x:c r="K237" s="48" t="str">
        <x:v>深加工</x:v>
      </x:c>
      <x:c r="L237" s="54" t="n">
        <x:v>7000</x:v>
      </x:c>
      <x:c r="M237" s="54" t="n">
        <x:v>6770.397716615698</x:v>
      </x:c>
      <x:c r="N237" s="55" t="n">
        <x:v>0.33</x:v>
      </x:c>
      <x:c r="O237" s="54" t="n">
        <x:v>2234.2312464831807</x:v>
      </x:c>
      <x:c r="P237" s="54" t="n">
        <x:v>2681.0774957798167</x:v>
      </x:c>
      <x:c r="Q237" s="55" t="n">
        <x:v>0.002432891607203534</x:v>
      </x:c>
      <x:c r="R237" s="55" t="n">
        <x:v>0.38996584680694857</x:v>
      </x:c>
      <x:c r="S237" s="55" t="n">
        <x:v>0.8073534395120299</x:v>
      </x:c>
      <x:c r="T237" s="55" t="n">
        <x:v>1.2386149003147955</x:v>
      </x:c>
      <x:c r="U237" s="55" t="n">
        <x:v>0.591671610826583</x:v>
      </x:c>
      <x:c r="V237" s="55" t="n">
        <x:v>0.792914936210696</x:v>
      </x:c>
      <x:c r="W237" s="55" t="n">
        <x:v>0.543503247697986</x:v>
      </x:c>
      <x:c r="X237" s="55" t="n">
        <x:v>0.9869490256906042</x:v>
      </x:c>
      <x:c r="Y237" s="54" t="n">
        <x:v>36705.91631642474</x:v>
      </x:c>
      <x:c r="Z237" s="54" t="n">
        <x:v>51864.30082365826</x:v>
      </x:c>
      <x:c r="AA237" s="54" t="n">
        <x:v>18140.875008632207</x:v>
      </x:c>
      <x:c r="AB237" s="55" t="n">
        <x:v>0.86</x:v>
      </x:c>
      <x:c r="AC237" s="55" t="n">
        <x:v>0.99</x:v>
      </x:c>
      <x:c r="AD237" s="55" t="n">
        <x:v>0.34</x:v>
      </x:c>
      <x:c r="AE237" s="55" t="n">
        <x:v>0.45</x:v>
      </x:c>
      <x:c r="AF237" s="55" t="n">
        <x:v>0.7</x:v>
      </x:c>
      <x:c r="AG237" s="53" t="str">
        <x:v>NBS China Statistical Yearbook 2025, Table 12-15</x:v>
      </x:c>
      <x:c r="AH237" s="53" t="str">
        <x:v>calibrated reconstruction; not historical author input</x:v>
      </x:c>
    </x:row>
    <x:row r="238" ht="32" hidden="0" customHeight="1">
      <x:c r="A238" s="48" t="str">
        <x:v>x_r30_s3_m1</x:v>
      </x:c>
      <x:c r="B238" s="48" t="str">
        <x:v>r30</x:v>
      </x:c>
      <x:c r="C238" s="48" t="str">
        <x:v>CN-NX</x:v>
      </x:c>
      <x:c r="D238" s="48" t="str">
        <x:v>Ningxia</x:v>
      </x:c>
      <x:c r="E238" s="48" t="str">
        <x:v>宁夏</x:v>
      </x:c>
      <x:c r="F238" s="48" t="n">
        <x:v>3</x:v>
      </x:c>
      <x:c r="G238" s="48" t="str">
        <x:v>marine_aquaculture</x:v>
      </x:c>
      <x:c r="H238" s="48" t="str">
        <x:v>海水养殖</x:v>
      </x:c>
      <x:c r="I238" s="48" t="n">
        <x:v>1</x:v>
      </x:c>
      <x:c r="J238" s="48" t="str">
        <x:v>fresh_sales</x:v>
      </x:c>
      <x:c r="K238" s="48" t="str">
        <x:v>鲜销</x:v>
      </x:c>
      <x:c r="L238" s="54" t="n">
        <x:v>0</x:v>
      </x:c>
      <x:c r="M238" s="54" t="n">
        <x:v>0</x:v>
      </x:c>
      <x:c r="N238" s="55" t="n">
        <x:v>0.74</x:v>
      </x:c>
      <x:c r="O238" s="54" t="n">
        <x:v>0</x:v>
      </x:c>
      <x:c r="P238" s="54" t="n">
        <x:v>0</x:v>
      </x:c>
      <x:c r="Q238" s="55" t="n">
        <x:v>0.002432891607203534</x:v>
      </x:c>
      <x:c r="R238" s="55" t="n">
        <x:v>0.38996584680694857</x:v>
      </x:c>
      <x:c r="S238" s="55" t="n">
        <x:v>0.8073534395120299</x:v>
      </x:c>
      <x:c r="T238" s="55" t="n">
        <x:v>1.2386149003147955</x:v>
      </x:c>
      <x:c r="U238" s="55" t="n">
        <x:v>0.591671610826583</x:v>
      </x:c>
      <x:c r="V238" s="55" t="n">
        <x:v>0.792914936210696</x:v>
      </x:c>
      <x:c r="W238" s="55" t="n">
        <x:v>0.543503247697986</x:v>
      </x:c>
      <x:c r="X238" s="55" t="n">
        <x:v>0.9869490256906042</x:v>
      </x:c>
      <x:c r="Y238" s="54" t="n">
        <x:v>36705.91631642474</x:v>
      </x:c>
      <x:c r="Z238" s="54" t="n">
        <x:v>51864.30082365826</x:v>
      </x:c>
      <x:c r="AA238" s="54" t="n">
        <x:v>18140.875008632207</x:v>
      </x:c>
      <x:c r="AB238" s="55" t="n">
        <x:v>0.84</x:v>
      </x:c>
      <x:c r="AC238" s="55" t="n">
        <x:v>0.8</x:v>
      </x:c>
      <x:c r="AD238" s="55" t="n">
        <x:v>0.33</x:v>
      </x:c>
      <x:c r="AE238" s="55" t="n">
        <x:v>0.78</x:v>
      </x:c>
      <x:c r="AF238" s="55" t="n">
        <x:v>0.11</x:v>
      </x:c>
      <x:c r="AG238" s="53" t="str">
        <x:v>NBS China Statistical Yearbook 2025, Table 12-15</x:v>
      </x:c>
      <x:c r="AH238" s="53" t="str">
        <x:v>calibrated reconstruction; not historical author input</x:v>
      </x:c>
    </x:row>
    <x:row r="239" ht="32" hidden="0" customHeight="1">
      <x:c r="A239" s="48" t="str">
        <x:v>x_r30_s3_m2</x:v>
      </x:c>
      <x:c r="B239" s="48" t="str">
        <x:v>r30</x:v>
      </x:c>
      <x:c r="C239" s="48" t="str">
        <x:v>CN-NX</x:v>
      </x:c>
      <x:c r="D239" s="48" t="str">
        <x:v>Ningxia</x:v>
      </x:c>
      <x:c r="E239" s="48" t="str">
        <x:v>宁夏</x:v>
      </x:c>
      <x:c r="F239" s="48" t="n">
        <x:v>3</x:v>
      </x:c>
      <x:c r="G239" s="48" t="str">
        <x:v>marine_aquaculture</x:v>
      </x:c>
      <x:c r="H239" s="48" t="str">
        <x:v>海水养殖</x:v>
      </x:c>
      <x:c r="I239" s="48" t="n">
        <x:v>2</x:v>
      </x:c>
      <x:c r="J239" s="48" t="str">
        <x:v>deep_processing</x:v>
      </x:c>
      <x:c r="K239" s="48" t="str">
        <x:v>深加工</x:v>
      </x:c>
      <x:c r="L239" s="54" t="n">
        <x:v>0</x:v>
      </x:c>
      <x:c r="M239" s="54" t="n">
        <x:v>0</x:v>
      </x:c>
      <x:c r="N239" s="55" t="n">
        <x:v>0.26</x:v>
      </x:c>
      <x:c r="O239" s="54" t="n">
        <x:v>0</x:v>
      </x:c>
      <x:c r="P239" s="54" t="n">
        <x:v>0</x:v>
      </x:c>
      <x:c r="Q239" s="55" t="n">
        <x:v>0.002432891607203534</x:v>
      </x:c>
      <x:c r="R239" s="55" t="n">
        <x:v>0.38996584680694857</x:v>
      </x:c>
      <x:c r="S239" s="55" t="n">
        <x:v>0.8073534395120299</x:v>
      </x:c>
      <x:c r="T239" s="55" t="n">
        <x:v>1.2386149003147955</x:v>
      </x:c>
      <x:c r="U239" s="55" t="n">
        <x:v>0.591671610826583</x:v>
      </x:c>
      <x:c r="V239" s="55" t="n">
        <x:v>0.792914936210696</x:v>
      </x:c>
      <x:c r="W239" s="55" t="n">
        <x:v>0.543503247697986</x:v>
      </x:c>
      <x:c r="X239" s="55" t="n">
        <x:v>0.9869490256906042</x:v>
      </x:c>
      <x:c r="Y239" s="54" t="n">
        <x:v>36705.91631642474</x:v>
      </x:c>
      <x:c r="Z239" s="54" t="n">
        <x:v>51864.30082365826</x:v>
      </x:c>
      <x:c r="AA239" s="54" t="n">
        <x:v>18140.875008632207</x:v>
      </x:c>
      <x:c r="AB239" s="55" t="n">
        <x:v>1.02</x:v>
      </x:c>
      <x:c r="AC239" s="55" t="n">
        <x:v>1.16</x:v>
      </x:c>
      <x:c r="AD239" s="55" t="n">
        <x:v>0.41</x:v>
      </x:c>
      <x:c r="AE239" s="55" t="n">
        <x:v>0.81</x:v>
      </x:c>
      <x:c r="AF239" s="55" t="n">
        <x:v>0.11</x:v>
      </x:c>
      <x:c r="AG239" s="53" t="str">
        <x:v>NBS China Statistical Yearbook 2025, Table 12-15</x:v>
      </x:c>
      <x:c r="AH239" s="53" t="str">
        <x:v>calibrated reconstruction; not historical author input</x:v>
      </x:c>
    </x:row>
    <x:row r="240" ht="32" hidden="0" customHeight="1">
      <x:c r="A240" s="48" t="str">
        <x:v>x_r30_s4_m1</x:v>
      </x:c>
      <x:c r="B240" s="48" t="str">
        <x:v>r30</x:v>
      </x:c>
      <x:c r="C240" s="48" t="str">
        <x:v>CN-NX</x:v>
      </x:c>
      <x:c r="D240" s="48" t="str">
        <x:v>Ningxia</x:v>
      </x:c>
      <x:c r="E240" s="48" t="str">
        <x:v>宁夏</x:v>
      </x:c>
      <x:c r="F240" s="48" t="n">
        <x:v>4</x:v>
      </x:c>
      <x:c r="G240" s="48" t="str">
        <x:v>freshwater_aquaculture</x:v>
      </x:c>
      <x:c r="H240" s="48" t="str">
        <x:v>淡水养殖</x:v>
      </x:c>
      <x:c r="I240" s="48" t="n">
        <x:v>1</x:v>
      </x:c>
      <x:c r="J240" s="48" t="str">
        <x:v>fresh_sales</x:v>
      </x:c>
      <x:c r="K240" s="48" t="str">
        <x:v>鲜销</x:v>
      </x:c>
      <x:c r="L240" s="54" t="n">
        <x:v>172000</x:v>
      </x:c>
      <x:c r="M240" s="54" t="n">
        <x:v>166358.34389398573</x:v>
      </x:c>
      <x:c r="N240" s="55" t="n">
        <x:v>0.78</x:v>
      </x:c>
      <x:c r="O240" s="54" t="n">
        <x:v>129759.50823730888</x:v>
      </x:c>
      <x:c r="P240" s="54" t="n">
        <x:v>155711.40988477066</x:v>
      </x:c>
      <x:c r="Q240" s="55" t="n">
        <x:v>0.002432891607203534</x:v>
      </x:c>
      <x:c r="R240" s="55" t="n">
        <x:v>0.38996584680694857</x:v>
      </x:c>
      <x:c r="S240" s="55" t="n">
        <x:v>0.8073534395120299</x:v>
      </x:c>
      <x:c r="T240" s="55" t="n">
        <x:v>1.2386149003147955</x:v>
      </x:c>
      <x:c r="U240" s="55" t="n">
        <x:v>0.591671610826583</x:v>
      </x:c>
      <x:c r="V240" s="55" t="n">
        <x:v>0.792914936210696</x:v>
      </x:c>
      <x:c r="W240" s="55" t="n">
        <x:v>0.543503247697986</x:v>
      </x:c>
      <x:c r="X240" s="55" t="n">
        <x:v>0.9869490256906042</x:v>
      </x:c>
      <x:c r="Y240" s="54" t="n">
        <x:v>36705.91631642474</x:v>
      </x:c>
      <x:c r="Z240" s="54" t="n">
        <x:v>51864.30082365826</x:v>
      </x:c>
      <x:c r="AA240" s="54" t="n">
        <x:v>18140.875008632207</x:v>
      </x:c>
      <x:c r="AB240" s="55" t="n">
        <x:v>0.88</x:v>
      </x:c>
      <x:c r="AC240" s="55" t="n">
        <x:v>0.84</x:v>
      </x:c>
      <x:c r="AD240" s="55" t="n">
        <x:v>0.31</x:v>
      </x:c>
      <x:c r="AE240" s="55" t="n">
        <x:v>0.88</x:v>
      </x:c>
      <x:c r="AF240" s="55" t="n">
        <x:v>0.08</x:v>
      </x:c>
      <x:c r="AG240" s="53" t="str">
        <x:v>NBS China Statistical Yearbook 2025, Table 12-15</x:v>
      </x:c>
      <x:c r="AH240" s="53" t="str">
        <x:v>calibrated reconstruction; not historical author input</x:v>
      </x:c>
    </x:row>
    <x:row r="241" ht="32" hidden="0" customHeight="1">
      <x:c r="A241" s="48" t="str">
        <x:v>x_r30_s4_m2</x:v>
      </x:c>
      <x:c r="B241" s="48" t="str">
        <x:v>r30</x:v>
      </x:c>
      <x:c r="C241" s="48" t="str">
        <x:v>CN-NX</x:v>
      </x:c>
      <x:c r="D241" s="48" t="str">
        <x:v>Ningxia</x:v>
      </x:c>
      <x:c r="E241" s="48" t="str">
        <x:v>宁夏</x:v>
      </x:c>
      <x:c r="F241" s="48" t="n">
        <x:v>4</x:v>
      </x:c>
      <x:c r="G241" s="48" t="str">
        <x:v>freshwater_aquaculture</x:v>
      </x:c>
      <x:c r="H241" s="48" t="str">
        <x:v>淡水养殖</x:v>
      </x:c>
      <x:c r="I241" s="48" t="n">
        <x:v>2</x:v>
      </x:c>
      <x:c r="J241" s="48" t="str">
        <x:v>deep_processing</x:v>
      </x:c>
      <x:c r="K241" s="48" t="str">
        <x:v>深加工</x:v>
      </x:c>
      <x:c r="L241" s="54" t="n">
        <x:v>172000</x:v>
      </x:c>
      <x:c r="M241" s="54" t="n">
        <x:v>166358.34389398573</x:v>
      </x:c>
      <x:c r="N241" s="55" t="n">
        <x:v>0.22</x:v>
      </x:c>
      <x:c r="O241" s="54" t="n">
        <x:v>36598.83565667686</x:v>
      </x:c>
      <x:c r="P241" s="54" t="n">
        <x:v>43918.602788012235</x:v>
      </x:c>
      <x:c r="Q241" s="55" t="n">
        <x:v>0.002432891607203534</x:v>
      </x:c>
      <x:c r="R241" s="55" t="n">
        <x:v>0.38996584680694857</x:v>
      </x:c>
      <x:c r="S241" s="55" t="n">
        <x:v>0.8073534395120299</x:v>
      </x:c>
      <x:c r="T241" s="55" t="n">
        <x:v>1.2386149003147955</x:v>
      </x:c>
      <x:c r="U241" s="55" t="n">
        <x:v>0.591671610826583</x:v>
      </x:c>
      <x:c r="V241" s="55" t="n">
        <x:v>0.792914936210696</x:v>
      </x:c>
      <x:c r="W241" s="55" t="n">
        <x:v>0.543503247697986</x:v>
      </x:c>
      <x:c r="X241" s="55" t="n">
        <x:v>0.9869490256906042</x:v>
      </x:c>
      <x:c r="Y241" s="54" t="n">
        <x:v>36705.91631642474</x:v>
      </x:c>
      <x:c r="Z241" s="54" t="n">
        <x:v>51864.30082365826</x:v>
      </x:c>
      <x:c r="AA241" s="54" t="n">
        <x:v>18140.875008632207</x:v>
      </x:c>
      <x:c r="AB241" s="55" t="n">
        <x:v>1.06</x:v>
      </x:c>
      <x:c r="AC241" s="55" t="n">
        <x:v>1.2</x:v>
      </x:c>
      <x:c r="AD241" s="55" t="n">
        <x:v>0.39</x:v>
      </x:c>
      <x:c r="AE241" s="55" t="n">
        <x:v>0.91</x:v>
      </x:c>
      <x:c r="AF241" s="55" t="n">
        <x:v>0.08</x:v>
      </x:c>
      <x:c r="AG241" s="53" t="str">
        <x:v>NBS China Statistical Yearbook 2025, Table 12-15</x:v>
      </x:c>
      <x:c r="AH241" s="53" t="str">
        <x:v>calibrated reconstruction; not historical author input</x:v>
      </x:c>
    </x:row>
    <x:row r="242" ht="32" hidden="0" customHeight="1">
      <x:c r="A242" s="48" t="str">
        <x:v>x_r31_s1_m1</x:v>
      </x:c>
      <x:c r="B242" s="48" t="str">
        <x:v>r31</x:v>
      </x:c>
      <x:c r="C242" s="48" t="str">
        <x:v>CN-XJ</x:v>
      </x:c>
      <x:c r="D242" s="48" t="str">
        <x:v>Xinjiang</x:v>
      </x:c>
      <x:c r="E242" s="48" t="str">
        <x:v>新疆</x:v>
      </x:c>
      <x:c r="F242" s="48" t="n">
        <x:v>1</x:v>
      </x:c>
      <x:c r="G242" s="48" t="str">
        <x:v>marine_capture</x:v>
      </x:c>
      <x:c r="H242" s="48" t="str">
        <x:v>海洋捕捞</x:v>
      </x:c>
      <x:c r="I242" s="48" t="n">
        <x:v>1</x:v>
      </x:c>
      <x:c r="J242" s="48" t="str">
        <x:v>fresh_sales</x:v>
      </x:c>
      <x:c r="K242" s="48" t="str">
        <x:v>鲜销</x:v>
      </x:c>
      <x:c r="L242" s="54" t="n">
        <x:v>0</x:v>
      </x:c>
      <x:c r="M242" s="54" t="n">
        <x:v>0</x:v>
      </x:c>
      <x:c r="N242" s="55" t="n">
        <x:v>0.62</x:v>
      </x:c>
      <x:c r="O242" s="54" t="n">
        <x:v>0</x:v>
      </x:c>
      <x:c r="P242" s="54" t="n">
        <x:v>0</x:v>
      </x:c>
      <x:c r="Q242" s="55" t="n">
        <x:v>0.0026231736323479443</x:v>
      </x:c>
      <x:c r="R242" s="55" t="n">
        <x:v>0.3377691960621877</x:v>
      </x:c>
      <x:c r="S242" s="55" t="n">
        <x:v>0.7479062787432832</x:v>
      </x:c>
      <x:c r="T242" s="55" t="n">
        <x:v>1.337065924463575</x:v>
      </x:c>
      <x:c r="U242" s="55" t="n">
        <x:v>0.49704364996502</x:v>
      </x:c>
      <x:c r="V242" s="55" t="n">
        <x:v>0.8260347225122431</x:v>
      </x:c>
      <x:c r="W242" s="55" t="n">
        <x:v>0.690816285336741</x:v>
      </x:c>
      <x:c r="X242" s="55" t="n">
        <x:v>0.9427551143989776</x:v>
      </x:c>
      <x:c r="Y242" s="54" t="n">
        <x:v>77988.65814888984</x:v>
      </x:c>
      <x:c r="Z242" s="54" t="n">
        <x:v>61970.47502444286</x:v>
      </x:c>
      <x:c r="AA242" s="54" t="n">
        <x:v>26898.53880590293</x:v>
      </x:c>
      <x:c r="AB242" s="55" t="n">
        <x:v>0.65</x:v>
      </x:c>
      <x:c r="AC242" s="55" t="n">
        <x:v>0.62</x:v>
      </x:c>
      <x:c r="AD242" s="55" t="n">
        <x:v>0.29</x:v>
      </x:c>
      <x:c r="AE242" s="55" t="n">
        <x:v>0.28</x:v>
      </x:c>
      <x:c r="AF242" s="55" t="n">
        <x:v>1</x:v>
      </x:c>
      <x:c r="AG242" s="53" t="str">
        <x:v>NBS China Statistical Yearbook 2025, Table 12-15</x:v>
      </x:c>
      <x:c r="AH242" s="53" t="str">
        <x:v>calibrated reconstruction; not historical author input</x:v>
      </x:c>
    </x:row>
    <x:row r="243" ht="32" hidden="0" customHeight="1">
      <x:c r="A243" s="48" t="str">
        <x:v>x_r31_s1_m2</x:v>
      </x:c>
      <x:c r="B243" s="48" t="str">
        <x:v>r31</x:v>
      </x:c>
      <x:c r="C243" s="48" t="str">
        <x:v>CN-XJ</x:v>
      </x:c>
      <x:c r="D243" s="48" t="str">
        <x:v>Xinjiang</x:v>
      </x:c>
      <x:c r="E243" s="48" t="str">
        <x:v>新疆</x:v>
      </x:c>
      <x:c r="F243" s="48" t="n">
        <x:v>1</x:v>
      </x:c>
      <x:c r="G243" s="48" t="str">
        <x:v>marine_capture</x:v>
      </x:c>
      <x:c r="H243" s="48" t="str">
        <x:v>海洋捕捞</x:v>
      </x:c>
      <x:c r="I243" s="48" t="n">
        <x:v>2</x:v>
      </x:c>
      <x:c r="J243" s="48" t="str">
        <x:v>deep_processing</x:v>
      </x:c>
      <x:c r="K243" s="48" t="str">
        <x:v>深加工</x:v>
      </x:c>
      <x:c r="L243" s="54" t="n">
        <x:v>0</x:v>
      </x:c>
      <x:c r="M243" s="54" t="n">
        <x:v>0</x:v>
      </x:c>
      <x:c r="N243" s="55" t="n">
        <x:v>0.38</x:v>
      </x:c>
      <x:c r="O243" s="54" t="n">
        <x:v>0</x:v>
      </x:c>
      <x:c r="P243" s="54" t="n">
        <x:v>0</x:v>
      </x:c>
      <x:c r="Q243" s="55" t="n">
        <x:v>0.0026231736323479443</x:v>
      </x:c>
      <x:c r="R243" s="55" t="n">
        <x:v>0.3377691960621877</x:v>
      </x:c>
      <x:c r="S243" s="55" t="n">
        <x:v>0.7479062787432832</x:v>
      </x:c>
      <x:c r="T243" s="55" t="n">
        <x:v>1.337065924463575</x:v>
      </x:c>
      <x:c r="U243" s="55" t="n">
        <x:v>0.49704364996502</x:v>
      </x:c>
      <x:c r="V243" s="55" t="n">
        <x:v>0.8260347225122431</x:v>
      </x:c>
      <x:c r="W243" s="55" t="n">
        <x:v>0.690816285336741</x:v>
      </x:c>
      <x:c r="X243" s="55" t="n">
        <x:v>0.9427551143989776</x:v>
      </x:c>
      <x:c r="Y243" s="54" t="n">
        <x:v>77988.65814888984</x:v>
      </x:c>
      <x:c r="Z243" s="54" t="n">
        <x:v>61970.47502444286</x:v>
      </x:c>
      <x:c r="AA243" s="54" t="n">
        <x:v>26898.53880590293</x:v>
      </x:c>
      <x:c r="AB243" s="55" t="n">
        <x:v>0.82</x:v>
      </x:c>
      <x:c r="AC243" s="55" t="n">
        <x:v>0.95</x:v>
      </x:c>
      <x:c r="AD243" s="55" t="n">
        <x:v>0.36</x:v>
      </x:c>
      <x:c r="AE243" s="55" t="n">
        <x:v>0.31</x:v>
      </x:c>
      <x:c r="AF243" s="55" t="n">
        <x:v>1</x:v>
      </x:c>
      <x:c r="AG243" s="53" t="str">
        <x:v>NBS China Statistical Yearbook 2025, Table 12-15</x:v>
      </x:c>
      <x:c r="AH243" s="53" t="str">
        <x:v>calibrated reconstruction; not historical author input</x:v>
      </x:c>
    </x:row>
    <x:row r="244" ht="32" hidden="0" customHeight="1">
      <x:c r="A244" s="48" t="str">
        <x:v>x_r31_s2_m1</x:v>
      </x:c>
      <x:c r="B244" s="48" t="str">
        <x:v>r31</x:v>
      </x:c>
      <x:c r="C244" s="48" t="str">
        <x:v>CN-XJ</x:v>
      </x:c>
      <x:c r="D244" s="48" t="str">
        <x:v>Xinjiang</x:v>
      </x:c>
      <x:c r="E244" s="48" t="str">
        <x:v>新疆</x:v>
      </x:c>
      <x:c r="F244" s="48" t="n">
        <x:v>2</x:v>
      </x:c>
      <x:c r="G244" s="48" t="str">
        <x:v>freshwater_capture</x:v>
      </x:c>
      <x:c r="H244" s="48" t="str">
        <x:v>淡水捕捞</x:v>
      </x:c>
      <x:c r="I244" s="48" t="n">
        <x:v>1</x:v>
      </x:c>
      <x:c r="J244" s="48" t="str">
        <x:v>fresh_sales</x:v>
      </x:c>
      <x:c r="K244" s="48" t="str">
        <x:v>鲜销</x:v>
      </x:c>
      <x:c r="L244" s="54" t="n">
        <x:v>14000</x:v>
      </x:c>
      <x:c r="M244" s="54" t="n">
        <x:v>13540.795433231397</x:v>
      </x:c>
      <x:c r="N244" s="55" t="n">
        <x:v>0.67</x:v>
      </x:c>
      <x:c r="O244" s="54" t="n">
        <x:v>9072.332940265036</x:v>
      </x:c>
      <x:c r="P244" s="54" t="n">
        <x:v>10886.799528318043</x:v>
      </x:c>
      <x:c r="Q244" s="55" t="n">
        <x:v>0.0026231736323479443</x:v>
      </x:c>
      <x:c r="R244" s="55" t="n">
        <x:v>0.3377691960621877</x:v>
      </x:c>
      <x:c r="S244" s="55" t="n">
        <x:v>0.7479062787432832</x:v>
      </x:c>
      <x:c r="T244" s="55" t="n">
        <x:v>1.337065924463575</x:v>
      </x:c>
      <x:c r="U244" s="55" t="n">
        <x:v>0.49704364996502</x:v>
      </x:c>
      <x:c r="V244" s="55" t="n">
        <x:v>0.8260347225122431</x:v>
      </x:c>
      <x:c r="W244" s="55" t="n">
        <x:v>0.690816285336741</x:v>
      </x:c>
      <x:c r="X244" s="55" t="n">
        <x:v>0.9427551143989776</x:v>
      </x:c>
      <x:c r="Y244" s="54" t="n">
        <x:v>77988.65814888984</x:v>
      </x:c>
      <x:c r="Z244" s="54" t="n">
        <x:v>61970.47502444286</x:v>
      </x:c>
      <x:c r="AA244" s="54" t="n">
        <x:v>26898.53880590293</x:v>
      </x:c>
      <x:c r="AB244" s="55" t="n">
        <x:v>0.7</x:v>
      </x:c>
      <x:c r="AC244" s="55" t="n">
        <x:v>0.67</x:v>
      </x:c>
      <x:c r="AD244" s="55" t="n">
        <x:v>0.26</x:v>
      </x:c>
      <x:c r="AE244" s="55" t="n">
        <x:v>0.42</x:v>
      </x:c>
      <x:c r="AF244" s="55" t="n">
        <x:v>0.7</x:v>
      </x:c>
      <x:c r="AG244" s="53" t="str">
        <x:v>NBS China Statistical Yearbook 2025, Table 12-15</x:v>
      </x:c>
      <x:c r="AH244" s="53" t="str">
        <x:v>calibrated reconstruction; not historical author input</x:v>
      </x:c>
    </x:row>
    <x:row r="245" ht="32" hidden="0" customHeight="1">
      <x:c r="A245" s="48" t="str">
        <x:v>x_r31_s2_m2</x:v>
      </x:c>
      <x:c r="B245" s="48" t="str">
        <x:v>r31</x:v>
      </x:c>
      <x:c r="C245" s="48" t="str">
        <x:v>CN-XJ</x:v>
      </x:c>
      <x:c r="D245" s="48" t="str">
        <x:v>Xinjiang</x:v>
      </x:c>
      <x:c r="E245" s="48" t="str">
        <x:v>新疆</x:v>
      </x:c>
      <x:c r="F245" s="48" t="n">
        <x:v>2</x:v>
      </x:c>
      <x:c r="G245" s="48" t="str">
        <x:v>freshwater_capture</x:v>
      </x:c>
      <x:c r="H245" s="48" t="str">
        <x:v>淡水捕捞</x:v>
      </x:c>
      <x:c r="I245" s="48" t="n">
        <x:v>2</x:v>
      </x:c>
      <x:c r="J245" s="48" t="str">
        <x:v>deep_processing</x:v>
      </x:c>
      <x:c r="K245" s="48" t="str">
        <x:v>深加工</x:v>
      </x:c>
      <x:c r="L245" s="54" t="n">
        <x:v>14000</x:v>
      </x:c>
      <x:c r="M245" s="54" t="n">
        <x:v>13540.795433231397</x:v>
      </x:c>
      <x:c r="N245" s="55" t="n">
        <x:v>0.33</x:v>
      </x:c>
      <x:c r="O245" s="54" t="n">
        <x:v>4468.462492966361</x:v>
      </x:c>
      <x:c r="P245" s="54" t="n">
        <x:v>5362.154991559633</x:v>
      </x:c>
      <x:c r="Q245" s="55" t="n">
        <x:v>0.0026231736323479443</x:v>
      </x:c>
      <x:c r="R245" s="55" t="n">
        <x:v>0.3377691960621877</x:v>
      </x:c>
      <x:c r="S245" s="55" t="n">
        <x:v>0.7479062787432832</x:v>
      </x:c>
      <x:c r="T245" s="55" t="n">
        <x:v>1.337065924463575</x:v>
      </x:c>
      <x:c r="U245" s="55" t="n">
        <x:v>0.49704364996502</x:v>
      </x:c>
      <x:c r="V245" s="55" t="n">
        <x:v>0.8260347225122431</x:v>
      </x:c>
      <x:c r="W245" s="55" t="n">
        <x:v>0.690816285336741</x:v>
      </x:c>
      <x:c r="X245" s="55" t="n">
        <x:v>0.9427551143989776</x:v>
      </x:c>
      <x:c r="Y245" s="54" t="n">
        <x:v>77988.65814888984</x:v>
      </x:c>
      <x:c r="Z245" s="54" t="n">
        <x:v>61970.47502444286</x:v>
      </x:c>
      <x:c r="AA245" s="54" t="n">
        <x:v>26898.53880590293</x:v>
      </x:c>
      <x:c r="AB245" s="55" t="n">
        <x:v>0.86</x:v>
      </x:c>
      <x:c r="AC245" s="55" t="n">
        <x:v>0.99</x:v>
      </x:c>
      <x:c r="AD245" s="55" t="n">
        <x:v>0.34</x:v>
      </x:c>
      <x:c r="AE245" s="55" t="n">
        <x:v>0.45</x:v>
      </x:c>
      <x:c r="AF245" s="55" t="n">
        <x:v>0.7</x:v>
      </x:c>
      <x:c r="AG245" s="53" t="str">
        <x:v>NBS China Statistical Yearbook 2025, Table 12-15</x:v>
      </x:c>
      <x:c r="AH245" s="53" t="str">
        <x:v>calibrated reconstruction; not historical author input</x:v>
      </x:c>
    </x:row>
    <x:row r="246" ht="32" hidden="0" customHeight="1">
      <x:c r="A246" s="48" t="str">
        <x:v>x_r31_s3_m1</x:v>
      </x:c>
      <x:c r="B246" s="48" t="str">
        <x:v>r31</x:v>
      </x:c>
      <x:c r="C246" s="48" t="str">
        <x:v>CN-XJ</x:v>
      </x:c>
      <x:c r="D246" s="48" t="str">
        <x:v>Xinjiang</x:v>
      </x:c>
      <x:c r="E246" s="48" t="str">
        <x:v>新疆</x:v>
      </x:c>
      <x:c r="F246" s="48" t="n">
        <x:v>3</x:v>
      </x:c>
      <x:c r="G246" s="48" t="str">
        <x:v>marine_aquaculture</x:v>
      </x:c>
      <x:c r="H246" s="48" t="str">
        <x:v>海水养殖</x:v>
      </x:c>
      <x:c r="I246" s="48" t="n">
        <x:v>1</x:v>
      </x:c>
      <x:c r="J246" s="48" t="str">
        <x:v>fresh_sales</x:v>
      </x:c>
      <x:c r="K246" s="48" t="str">
        <x:v>鲜销</x:v>
      </x:c>
      <x:c r="L246" s="54" t="n">
        <x:v>0</x:v>
      </x:c>
      <x:c r="M246" s="54" t="n">
        <x:v>0</x:v>
      </x:c>
      <x:c r="N246" s="55" t="n">
        <x:v>0.74</x:v>
      </x:c>
      <x:c r="O246" s="54" t="n">
        <x:v>0</x:v>
      </x:c>
      <x:c r="P246" s="54" t="n">
        <x:v>0</x:v>
      </x:c>
      <x:c r="Q246" s="55" t="n">
        <x:v>0.0026231736323479443</x:v>
      </x:c>
      <x:c r="R246" s="55" t="n">
        <x:v>0.3377691960621877</x:v>
      </x:c>
      <x:c r="S246" s="55" t="n">
        <x:v>0.7479062787432832</x:v>
      </x:c>
      <x:c r="T246" s="55" t="n">
        <x:v>1.337065924463575</x:v>
      </x:c>
      <x:c r="U246" s="55" t="n">
        <x:v>0.49704364996502</x:v>
      </x:c>
      <x:c r="V246" s="55" t="n">
        <x:v>0.8260347225122431</x:v>
      </x:c>
      <x:c r="W246" s="55" t="n">
        <x:v>0.690816285336741</x:v>
      </x:c>
      <x:c r="X246" s="55" t="n">
        <x:v>0.9427551143989776</x:v>
      </x:c>
      <x:c r="Y246" s="54" t="n">
        <x:v>77988.65814888984</x:v>
      </x:c>
      <x:c r="Z246" s="54" t="n">
        <x:v>61970.47502444286</x:v>
      </x:c>
      <x:c r="AA246" s="54" t="n">
        <x:v>26898.53880590293</x:v>
      </x:c>
      <x:c r="AB246" s="55" t="n">
        <x:v>0.84</x:v>
      </x:c>
      <x:c r="AC246" s="55" t="n">
        <x:v>0.8</x:v>
      </x:c>
      <x:c r="AD246" s="55" t="n">
        <x:v>0.33</x:v>
      </x:c>
      <x:c r="AE246" s="55" t="n">
        <x:v>0.78</x:v>
      </x:c>
      <x:c r="AF246" s="55" t="n">
        <x:v>0.11</x:v>
      </x:c>
      <x:c r="AG246" s="53" t="str">
        <x:v>NBS China Statistical Yearbook 2025, Table 12-15</x:v>
      </x:c>
      <x:c r="AH246" s="53" t="str">
        <x:v>calibrated reconstruction; not historical author input</x:v>
      </x:c>
    </x:row>
    <x:row r="247" ht="32" hidden="0" customHeight="1">
      <x:c r="A247" s="48" t="str">
        <x:v>x_r31_s3_m2</x:v>
      </x:c>
      <x:c r="B247" s="48" t="str">
        <x:v>r31</x:v>
      </x:c>
      <x:c r="C247" s="48" t="str">
        <x:v>CN-XJ</x:v>
      </x:c>
      <x:c r="D247" s="48" t="str">
        <x:v>Xinjiang</x:v>
      </x:c>
      <x:c r="E247" s="48" t="str">
        <x:v>新疆</x:v>
      </x:c>
      <x:c r="F247" s="48" t="n">
        <x:v>3</x:v>
      </x:c>
      <x:c r="G247" s="48" t="str">
        <x:v>marine_aquaculture</x:v>
      </x:c>
      <x:c r="H247" s="48" t="str">
        <x:v>海水养殖</x:v>
      </x:c>
      <x:c r="I247" s="48" t="n">
        <x:v>2</x:v>
      </x:c>
      <x:c r="J247" s="48" t="str">
        <x:v>deep_processing</x:v>
      </x:c>
      <x:c r="K247" s="48" t="str">
        <x:v>深加工</x:v>
      </x:c>
      <x:c r="L247" s="54" t="n">
        <x:v>0</x:v>
      </x:c>
      <x:c r="M247" s="54" t="n">
        <x:v>0</x:v>
      </x:c>
      <x:c r="N247" s="55" t="n">
        <x:v>0.26</x:v>
      </x:c>
      <x:c r="O247" s="54" t="n">
        <x:v>0</x:v>
      </x:c>
      <x:c r="P247" s="54" t="n">
        <x:v>0</x:v>
      </x:c>
      <x:c r="Q247" s="55" t="n">
        <x:v>0.0026231736323479443</x:v>
      </x:c>
      <x:c r="R247" s="55" t="n">
        <x:v>0.3377691960621877</x:v>
      </x:c>
      <x:c r="S247" s="55" t="n">
        <x:v>0.7479062787432832</x:v>
      </x:c>
      <x:c r="T247" s="55" t="n">
        <x:v>1.337065924463575</x:v>
      </x:c>
      <x:c r="U247" s="55" t="n">
        <x:v>0.49704364996502</x:v>
      </x:c>
      <x:c r="V247" s="55" t="n">
        <x:v>0.8260347225122431</x:v>
      </x:c>
      <x:c r="W247" s="55" t="n">
        <x:v>0.690816285336741</x:v>
      </x:c>
      <x:c r="X247" s="55" t="n">
        <x:v>0.9427551143989776</x:v>
      </x:c>
      <x:c r="Y247" s="54" t="n">
        <x:v>77988.65814888984</x:v>
      </x:c>
      <x:c r="Z247" s="54" t="n">
        <x:v>61970.47502444286</x:v>
      </x:c>
      <x:c r="AA247" s="54" t="n">
        <x:v>26898.53880590293</x:v>
      </x:c>
      <x:c r="AB247" s="55" t="n">
        <x:v>1.02</x:v>
      </x:c>
      <x:c r="AC247" s="55" t="n">
        <x:v>1.16</x:v>
      </x:c>
      <x:c r="AD247" s="55" t="n">
        <x:v>0.41</x:v>
      </x:c>
      <x:c r="AE247" s="55" t="n">
        <x:v>0.81</x:v>
      </x:c>
      <x:c r="AF247" s="55" t="n">
        <x:v>0.11</x:v>
      </x:c>
      <x:c r="AG247" s="53" t="str">
        <x:v>NBS China Statistical Yearbook 2025, Table 12-15</x:v>
      </x:c>
      <x:c r="AH247" s="53" t="str">
        <x:v>calibrated reconstruction; not historical author input</x:v>
      </x:c>
    </x:row>
    <x:row r="248" ht="32" hidden="0" customHeight="1">
      <x:c r="A248" s="48" t="str">
        <x:v>x_r31_s4_m1</x:v>
      </x:c>
      <x:c r="B248" s="48" t="str">
        <x:v>r31</x:v>
      </x:c>
      <x:c r="C248" s="48" t="str">
        <x:v>CN-XJ</x:v>
      </x:c>
      <x:c r="D248" s="48" t="str">
        <x:v>Xinjiang</x:v>
      </x:c>
      <x:c r="E248" s="48" t="str">
        <x:v>新疆</x:v>
      </x:c>
      <x:c r="F248" s="48" t="n">
        <x:v>4</x:v>
      </x:c>
      <x:c r="G248" s="48" t="str">
        <x:v>freshwater_aquaculture</x:v>
      </x:c>
      <x:c r="H248" s="48" t="str">
        <x:v>淡水养殖</x:v>
      </x:c>
      <x:c r="I248" s="48" t="n">
        <x:v>1</x:v>
      </x:c>
      <x:c r="J248" s="48" t="str">
        <x:v>fresh_sales</x:v>
      </x:c>
      <x:c r="K248" s="48" t="str">
        <x:v>鲜销</x:v>
      </x:c>
      <x:c r="L248" s="54" t="n">
        <x:v>179000</x:v>
      </x:c>
      <x:c r="M248" s="54" t="n">
        <x:v>173128.74161060143</x:v>
      </x:c>
      <x:c r="N248" s="55" t="n">
        <x:v>0.78</x:v>
      </x:c>
      <x:c r="O248" s="54" t="n">
        <x:v>135040.4184562691</x:v>
      </x:c>
      <x:c r="P248" s="54" t="n">
        <x:v>162048.50214752293</x:v>
      </x:c>
      <x:c r="Q248" s="55" t="n">
        <x:v>0.0026231736323479443</x:v>
      </x:c>
      <x:c r="R248" s="55" t="n">
        <x:v>0.3377691960621877</x:v>
      </x:c>
      <x:c r="S248" s="55" t="n">
        <x:v>0.7479062787432832</x:v>
      </x:c>
      <x:c r="T248" s="55" t="n">
        <x:v>1.337065924463575</x:v>
      </x:c>
      <x:c r="U248" s="55" t="n">
        <x:v>0.49704364996502</x:v>
      </x:c>
      <x:c r="V248" s="55" t="n">
        <x:v>0.8260347225122431</x:v>
      </x:c>
      <x:c r="W248" s="55" t="n">
        <x:v>0.690816285336741</x:v>
      </x:c>
      <x:c r="X248" s="55" t="n">
        <x:v>0.9427551143989776</x:v>
      </x:c>
      <x:c r="Y248" s="54" t="n">
        <x:v>77988.65814888984</x:v>
      </x:c>
      <x:c r="Z248" s="54" t="n">
        <x:v>61970.47502444286</x:v>
      </x:c>
      <x:c r="AA248" s="54" t="n">
        <x:v>26898.53880590293</x:v>
      </x:c>
      <x:c r="AB248" s="55" t="n">
        <x:v>0.88</x:v>
      </x:c>
      <x:c r="AC248" s="55" t="n">
        <x:v>0.84</x:v>
      </x:c>
      <x:c r="AD248" s="55" t="n">
        <x:v>0.31</x:v>
      </x:c>
      <x:c r="AE248" s="55" t="n">
        <x:v>0.88</x:v>
      </x:c>
      <x:c r="AF248" s="55" t="n">
        <x:v>0.08</x:v>
      </x:c>
      <x:c r="AG248" s="53" t="str">
        <x:v>NBS China Statistical Yearbook 2025, Table 12-15</x:v>
      </x:c>
      <x:c r="AH248" s="53" t="str">
        <x:v>calibrated reconstruction; not historical author input</x:v>
      </x:c>
    </x:row>
    <x:row r="249" ht="32" hidden="0" customHeight="1">
      <x:c r="A249" s="48" t="str">
        <x:v>x_r31_s4_m2</x:v>
      </x:c>
      <x:c r="B249" s="48" t="str">
        <x:v>r31</x:v>
      </x:c>
      <x:c r="C249" s="48" t="str">
        <x:v>CN-XJ</x:v>
      </x:c>
      <x:c r="D249" s="48" t="str">
        <x:v>Xinjiang</x:v>
      </x:c>
      <x:c r="E249" s="48" t="str">
        <x:v>新疆</x:v>
      </x:c>
      <x:c r="F249" s="48" t="n">
        <x:v>4</x:v>
      </x:c>
      <x:c r="G249" s="48" t="str">
        <x:v>freshwater_aquaculture</x:v>
      </x:c>
      <x:c r="H249" s="48" t="str">
        <x:v>淡水养殖</x:v>
      </x:c>
      <x:c r="I249" s="48" t="n">
        <x:v>2</x:v>
      </x:c>
      <x:c r="J249" s="48" t="str">
        <x:v>deep_processing</x:v>
      </x:c>
      <x:c r="K249" s="48" t="str">
        <x:v>深加工</x:v>
      </x:c>
      <x:c r="L249" s="54" t="n">
        <x:v>179000</x:v>
      </x:c>
      <x:c r="M249" s="54" t="n">
        <x:v>173128.74161060143</x:v>
      </x:c>
      <x:c r="N249" s="55" t="n">
        <x:v>0.22</x:v>
      </x:c>
      <x:c r="O249" s="54" t="n">
        <x:v>38088.32315433231</x:v>
      </x:c>
      <x:c r="P249" s="54" t="n">
        <x:v>45705.98778519878</x:v>
      </x:c>
      <x:c r="Q249" s="55" t="n">
        <x:v>0.0026231736323479443</x:v>
      </x:c>
      <x:c r="R249" s="55" t="n">
        <x:v>0.3377691960621877</x:v>
      </x:c>
      <x:c r="S249" s="55" t="n">
        <x:v>0.7479062787432832</x:v>
      </x:c>
      <x:c r="T249" s="55" t="n">
        <x:v>1.337065924463575</x:v>
      </x:c>
      <x:c r="U249" s="55" t="n">
        <x:v>0.49704364996502</x:v>
      </x:c>
      <x:c r="V249" s="55" t="n">
        <x:v>0.8260347225122431</x:v>
      </x:c>
      <x:c r="W249" s="55" t="n">
        <x:v>0.690816285336741</x:v>
      </x:c>
      <x:c r="X249" s="55" t="n">
        <x:v>0.9427551143989776</x:v>
      </x:c>
      <x:c r="Y249" s="54" t="n">
        <x:v>77988.65814888984</x:v>
      </x:c>
      <x:c r="Z249" s="54" t="n">
        <x:v>61970.47502444286</x:v>
      </x:c>
      <x:c r="AA249" s="54" t="n">
        <x:v>26898.53880590293</x:v>
      </x:c>
      <x:c r="AB249" s="55" t="n">
        <x:v>1.06</x:v>
      </x:c>
      <x:c r="AC249" s="55" t="n">
        <x:v>1.2</x:v>
      </x:c>
      <x:c r="AD249" s="55" t="n">
        <x:v>0.39</x:v>
      </x:c>
      <x:c r="AE249" s="55" t="n">
        <x:v>0.91</x:v>
      </x:c>
      <x:c r="AF249" s="55" t="n">
        <x:v>0.08</x:v>
      </x:c>
      <x:c r="AG249" s="53" t="str">
        <x:v>NBS China Statistical Yearbook 2025, Table 12-15</x:v>
      </x:c>
      <x:c r="AH249" s="53" t="str">
        <x:v>calibrated reconstruction; not historical author input</x:v>
      </x:c>
    </x:row>
  </x:sheetData>
  <x:pageMargins left="0.7" right="0.7" top="0.75" bottom="0.75" header="0.3" footer="0.3"/>
  <x:tableParts count="1">
    <x:tablePart xmlns:r="http://schemas.openxmlformats.org/officeDocument/2006/relationships" r:id="R2bc6122cb6d448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4" hidden="0" customWidth="1"/>
    <x:col min="4" max="4" width="10" hidden="0" customWidth="1"/>
    <x:col min="5" max="5" width="18" hidden="0" customWidth="1"/>
    <x:col min="6" max="6" width="12" hidden="0" customWidth="1"/>
    <x:col min="7" max="7" width="20" hidden="0" customWidth="1"/>
    <x:col min="8" max="8" width="22" hidden="0" customWidth="1"/>
    <x:col min="9" max="9" width="24" hidden="0" customWidth="1"/>
    <x:col min="10" max="10" width="24" hidden="0" customWidth="1"/>
    <x:col min="11" max="11" width="22" hidden="0" customWidth="1"/>
    <x:col min="12" max="12" width="22" hidden="0" customWidth="1"/>
    <x:col min="13" max="13" width="40" hidden="0" customWidth="1"/>
  </x:cols>
  <x:sheetData>
    <x:row r="1" ht="42" hidden="0" customHeight="1">
      <x:c r="A1" s="52" t="str">
        <x:v>sector_id</x:v>
      </x:c>
      <x:c r="B1" s="52" t="str">
        <x:v>sector_en</x:v>
      </x:c>
      <x:c r="C1" s="52" t="str">
        <x:v>sector_zh</x:v>
      </x:c>
      <x:c r="D1" s="52" t="str">
        <x:v>mode_id</x:v>
      </x:c>
      <x:c r="E1" s="52" t="str">
        <x:v>mode_en</x:v>
      </x:c>
      <x:c r="F1" s="52" t="str">
        <x:v>mode_zh</x:v>
      </x:c>
      <x:c r="G1" s="52" t="str">
        <x:v>assumed_mode_share</x:v>
      </x:c>
      <x:c r="H1" s="52" t="str">
        <x:v>income_coefficient_proxy</x:v>
      </x:c>
      <x:c r="I1" s="52" t="str">
        <x:v>marginal_value_coefficient_proxy</x:v>
      </x:c>
      <x:c r="J1" s="52" t="str">
        <x:v>supply_chain_cost_coefficient_proxy</x:v>
      </x:c>
      <x:c r="K1" s="52" t="str">
        <x:v>ecological_weight_proxy</x:v>
      </x:c>
      <x:c r="L1" s="52" t="str">
        <x:v>fleet_power_coefficient_proxy</x:v>
      </x:c>
      <x:c r="M1" s="52" t="str">
        <x:v>data_status</x:v>
      </x:c>
    </x:row>
    <x:row r="2" ht="28" hidden="0" customHeight="1">
      <x:c r="A2" s="48" t="n">
        <x:v>1</x:v>
      </x:c>
      <x:c r="B2" s="48" t="str">
        <x:v>marine_capture</x:v>
      </x:c>
      <x:c r="C2" s="48" t="str">
        <x:v>海洋捕捞</x:v>
      </x:c>
      <x:c r="D2" s="48" t="n">
        <x:v>1</x:v>
      </x:c>
      <x:c r="E2" s="48" t="str">
        <x:v>fresh_sales</x:v>
      </x:c>
      <x:c r="F2" s="48" t="str">
        <x:v>鲜销</x:v>
      </x:c>
      <x:c r="G2" s="55" t="n">
        <x:v>0.62</x:v>
      </x:c>
      <x:c r="H2" s="55" t="n">
        <x:v>0.65</x:v>
      </x:c>
      <x:c r="I2" s="55" t="n">
        <x:v>0.62</x:v>
      </x:c>
      <x:c r="J2" s="55" t="n">
        <x:v>0.29</x:v>
      </x:c>
      <x:c r="K2" s="55" t="n">
        <x:v>0.28</x:v>
      </x:c>
      <x:c r="L2" s="55" t="n">
        <x:v>1</x:v>
      </x:c>
      <x:c r="M2" s="53" t="str">
        <x:v>calibrated reconstruction; not historical author input</x:v>
      </x:c>
    </x:row>
    <x:row r="3" ht="28" hidden="0" customHeight="1">
      <x:c r="A3" s="48" t="n">
        <x:v>1</x:v>
      </x:c>
      <x:c r="B3" s="48" t="str">
        <x:v>marine_capture</x:v>
      </x:c>
      <x:c r="C3" s="48" t="str">
        <x:v>海洋捕捞</x:v>
      </x:c>
      <x:c r="D3" s="48" t="n">
        <x:v>2</x:v>
      </x:c>
      <x:c r="E3" s="48" t="str">
        <x:v>deep_processing</x:v>
      </x:c>
      <x:c r="F3" s="48" t="str">
        <x:v>深加工</x:v>
      </x:c>
      <x:c r="G3" s="55" t="n">
        <x:v>0.38</x:v>
      </x:c>
      <x:c r="H3" s="55" t="n">
        <x:v>0.82</x:v>
      </x:c>
      <x:c r="I3" s="55" t="n">
        <x:v>0.95</x:v>
      </x:c>
      <x:c r="J3" s="55" t="n">
        <x:v>0.36</x:v>
      </x:c>
      <x:c r="K3" s="55" t="n">
        <x:v>0.31</x:v>
      </x:c>
      <x:c r="L3" s="55" t="n">
        <x:v>1</x:v>
      </x:c>
      <x:c r="M3" s="53" t="str">
        <x:v>calibrated reconstruction; not historical author input</x:v>
      </x:c>
    </x:row>
    <x:row r="4" ht="28" hidden="0" customHeight="1">
      <x:c r="A4" s="48" t="n">
        <x:v>2</x:v>
      </x:c>
      <x:c r="B4" s="48" t="str">
        <x:v>freshwater_capture</x:v>
      </x:c>
      <x:c r="C4" s="48" t="str">
        <x:v>淡水捕捞</x:v>
      </x:c>
      <x:c r="D4" s="48" t="n">
        <x:v>1</x:v>
      </x:c>
      <x:c r="E4" s="48" t="str">
        <x:v>fresh_sales</x:v>
      </x:c>
      <x:c r="F4" s="48" t="str">
        <x:v>鲜销</x:v>
      </x:c>
      <x:c r="G4" s="55" t="n">
        <x:v>0.67</x:v>
      </x:c>
      <x:c r="H4" s="55" t="n">
        <x:v>0.7</x:v>
      </x:c>
      <x:c r="I4" s="55" t="n">
        <x:v>0.67</x:v>
      </x:c>
      <x:c r="J4" s="55" t="n">
        <x:v>0.26</x:v>
      </x:c>
      <x:c r="K4" s="55" t="n">
        <x:v>0.42</x:v>
      </x:c>
      <x:c r="L4" s="55" t="n">
        <x:v>0.7</x:v>
      </x:c>
      <x:c r="M4" s="53" t="str">
        <x:v>calibrated reconstruction; not historical author input</x:v>
      </x:c>
    </x:row>
    <x:row r="5" ht="28" hidden="0" customHeight="1">
      <x:c r="A5" s="48" t="n">
        <x:v>2</x:v>
      </x:c>
      <x:c r="B5" s="48" t="str">
        <x:v>freshwater_capture</x:v>
      </x:c>
      <x:c r="C5" s="48" t="str">
        <x:v>淡水捕捞</x:v>
      </x:c>
      <x:c r="D5" s="48" t="n">
        <x:v>2</x:v>
      </x:c>
      <x:c r="E5" s="48" t="str">
        <x:v>deep_processing</x:v>
      </x:c>
      <x:c r="F5" s="48" t="str">
        <x:v>深加工</x:v>
      </x:c>
      <x:c r="G5" s="55" t="n">
        <x:v>0.33</x:v>
      </x:c>
      <x:c r="H5" s="55" t="n">
        <x:v>0.86</x:v>
      </x:c>
      <x:c r="I5" s="55" t="n">
        <x:v>0.99</x:v>
      </x:c>
      <x:c r="J5" s="55" t="n">
        <x:v>0.34</x:v>
      </x:c>
      <x:c r="K5" s="55" t="n">
        <x:v>0.45</x:v>
      </x:c>
      <x:c r="L5" s="55" t="n">
        <x:v>0.7</x:v>
      </x:c>
      <x:c r="M5" s="53" t="str">
        <x:v>calibrated reconstruction; not historical author input</x:v>
      </x:c>
    </x:row>
    <x:row r="6" ht="28" hidden="0" customHeight="1">
      <x:c r="A6" s="48" t="n">
        <x:v>3</x:v>
      </x:c>
      <x:c r="B6" s="48" t="str">
        <x:v>marine_aquaculture</x:v>
      </x:c>
      <x:c r="C6" s="48" t="str">
        <x:v>海水养殖</x:v>
      </x:c>
      <x:c r="D6" s="48" t="n">
        <x:v>1</x:v>
      </x:c>
      <x:c r="E6" s="48" t="str">
        <x:v>fresh_sales</x:v>
      </x:c>
      <x:c r="F6" s="48" t="str">
        <x:v>鲜销</x:v>
      </x:c>
      <x:c r="G6" s="55" t="n">
        <x:v>0.74</x:v>
      </x:c>
      <x:c r="H6" s="55" t="n">
        <x:v>0.84</x:v>
      </x:c>
      <x:c r="I6" s="55" t="n">
        <x:v>0.8</x:v>
      </x:c>
      <x:c r="J6" s="55" t="n">
        <x:v>0.33</x:v>
      </x:c>
      <x:c r="K6" s="55" t="n">
        <x:v>0.78</x:v>
      </x:c>
      <x:c r="L6" s="55" t="n">
        <x:v>0.11</x:v>
      </x:c>
      <x:c r="M6" s="53" t="str">
        <x:v>calibrated reconstruction; not historical author input</x:v>
      </x:c>
    </x:row>
    <x:row r="7" ht="28" hidden="0" customHeight="1">
      <x:c r="A7" s="48" t="n">
        <x:v>3</x:v>
      </x:c>
      <x:c r="B7" s="48" t="str">
        <x:v>marine_aquaculture</x:v>
      </x:c>
      <x:c r="C7" s="48" t="str">
        <x:v>海水养殖</x:v>
      </x:c>
      <x:c r="D7" s="48" t="n">
        <x:v>2</x:v>
      </x:c>
      <x:c r="E7" s="48" t="str">
        <x:v>deep_processing</x:v>
      </x:c>
      <x:c r="F7" s="48" t="str">
        <x:v>深加工</x:v>
      </x:c>
      <x:c r="G7" s="55" t="n">
        <x:v>0.26</x:v>
      </x:c>
      <x:c r="H7" s="55" t="n">
        <x:v>1.02</x:v>
      </x:c>
      <x:c r="I7" s="55" t="n">
        <x:v>1.16</x:v>
      </x:c>
      <x:c r="J7" s="55" t="n">
        <x:v>0.41</x:v>
      </x:c>
      <x:c r="K7" s="55" t="n">
        <x:v>0.81</x:v>
      </x:c>
      <x:c r="L7" s="55" t="n">
        <x:v>0.11</x:v>
      </x:c>
      <x:c r="M7" s="53" t="str">
        <x:v>calibrated reconstruction; not historical author input</x:v>
      </x:c>
    </x:row>
    <x:row r="8" ht="28" hidden="0" customHeight="1">
      <x:c r="A8" s="48" t="n">
        <x:v>4</x:v>
      </x:c>
      <x:c r="B8" s="48" t="str">
        <x:v>freshwater_aquaculture</x:v>
      </x:c>
      <x:c r="C8" s="48" t="str">
        <x:v>淡水养殖</x:v>
      </x:c>
      <x:c r="D8" s="48" t="n">
        <x:v>1</x:v>
      </x:c>
      <x:c r="E8" s="48" t="str">
        <x:v>fresh_sales</x:v>
      </x:c>
      <x:c r="F8" s="48" t="str">
        <x:v>鲜销</x:v>
      </x:c>
      <x:c r="G8" s="55" t="n">
        <x:v>0.78</x:v>
      </x:c>
      <x:c r="H8" s="55" t="n">
        <x:v>0.88</x:v>
      </x:c>
      <x:c r="I8" s="55" t="n">
        <x:v>0.84</x:v>
      </x:c>
      <x:c r="J8" s="55" t="n">
        <x:v>0.31</x:v>
      </x:c>
      <x:c r="K8" s="55" t="n">
        <x:v>0.88</x:v>
      </x:c>
      <x:c r="L8" s="55" t="n">
        <x:v>0.08</x:v>
      </x:c>
      <x:c r="M8" s="53" t="str">
        <x:v>calibrated reconstruction; not historical author input</x:v>
      </x:c>
    </x:row>
    <x:row r="9" ht="28" hidden="0" customHeight="1">
      <x:c r="A9" s="48" t="n">
        <x:v>4</x:v>
      </x:c>
      <x:c r="B9" s="48" t="str">
        <x:v>freshwater_aquaculture</x:v>
      </x:c>
      <x:c r="C9" s="48" t="str">
        <x:v>淡水养殖</x:v>
      </x:c>
      <x:c r="D9" s="48" t="n">
        <x:v>2</x:v>
      </x:c>
      <x:c r="E9" s="48" t="str">
        <x:v>deep_processing</x:v>
      </x:c>
      <x:c r="F9" s="48" t="str">
        <x:v>深加工</x:v>
      </x:c>
      <x:c r="G9" s="55" t="n">
        <x:v>0.22</x:v>
      </x:c>
      <x:c r="H9" s="55" t="n">
        <x:v>1.06</x:v>
      </x:c>
      <x:c r="I9" s="55" t="n">
        <x:v>1.2</x:v>
      </x:c>
      <x:c r="J9" s="55" t="n">
        <x:v>0.39</x:v>
      </x:c>
      <x:c r="K9" s="55" t="n">
        <x:v>0.91</x:v>
      </x:c>
      <x:c r="L9" s="55" t="n">
        <x:v>0.08</x:v>
      </x:c>
      <x:c r="M9" s="53" t="str">
        <x:v>calibrated reconstruction; not historical author input</x:v>
      </x:c>
    </x:row>
  </x:sheetData>
  <x:pageMargins left="0.7" right="0.7" top="0.75" bottom="0.75" header="0.3" footer="0.3"/>
  <x:tableParts count="1">
    <x:tablePart xmlns:r="http://schemas.openxmlformats.org/officeDocument/2006/relationships" r:id="R11ddc5a415a941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0" hidden="0" customWidth="1"/>
    <x:col min="5" max="5" width="34" hidden="0" customWidth="1"/>
    <x:col min="6" max="6" width="34" hidden="0" customWidth="1"/>
  </x:cols>
  <x:sheetData>
    <x:row r="1" ht="42" hidden="0" customHeight="1">
      <x:c r="A1" s="52" t="str">
        <x:v>parameter</x:v>
      </x:c>
      <x:c r="B1" s="52" t="str">
        <x:v>value</x:v>
      </x:c>
      <x:c r="C1" s="52" t="str">
        <x:v>unit</x:v>
      </x:c>
      <x:c r="D1" s="52" t="str">
        <x:v>role</x:v>
      </x:c>
      <x:c r="E1" s="52" t="str">
        <x:v>source</x:v>
      </x:c>
      <x:c r="F1" s="52" t="str">
        <x:v>data_status</x:v>
      </x:c>
    </x:row>
    <x:row r="2" ht="34" hidden="0" customHeight="1">
      <x:c r="A2" s="48" t="str">
        <x:v>baseline_total</x:v>
      </x:c>
      <x:c r="B2" s="48" t="n">
        <x:v>71161716</x:v>
      </x:c>
      <x:c r="C2" s="48" t="str">
        <x:v>tonnes</x:v>
      </x:c>
      <x:c r="D2" s="53" t="str">
        <x:v>2023 production anchor</x:v>
      </x:c>
      <x:c r="E2" s="53" t="str">
        <x:v>Paper Table 3</x:v>
      </x:c>
      <x:c r="F2" s="53" t="str">
        <x:v>article transcription</x:v>
      </x:c>
    </x:row>
    <x:row r="3" ht="34" hidden="0" customHeight="1">
      <x:c r="A3" s="48" t="str">
        <x:v>nbs_2024_31province_sector_sum</x:v>
      </x:c>
      <x:c r="B3" s="48" t="n">
        <x:v>73575000</x:v>
      </x:c>
      <x:c r="C3" s="48" t="str">
        <x:v>tonnes</x:v>
      </x:c>
      <x:c r="D3" s="53" t="str">
        <x:v>official public regional-sector backbone</x:v>
      </x:c>
      <x:c r="E3" s="53" t="str">
        <x:v>NBS 2025 Table 12-15</x:v>
      </x:c>
      <x:c r="F3" s="53" t="str">
        <x:v>official public 2024 NBS transcription; not historical author input</x:v>
      </x:c>
    </x:row>
    <x:row r="4" ht="34" hidden="0" customHeight="1">
      <x:c r="A4" s="48" t="str">
        <x:v>paper_calibration_factor</x:v>
      </x:c>
      <x:c r="B4" s="48" t="n">
        <x:v>0.9671996738022426</x:v>
      </x:c>
      <x:c r="C4" s="48" t="str">
        <x:v>ratio</x:v>
      </x:c>
      <x:c r="D4" s="53" t="str">
        <x:v>scale 2024 public sector pattern to the paper's 2023 national production anchor</x:v>
      </x:c>
      <x:c r="E4" s="53" t="str">
        <x:v>71,161,716 / sum of four NBS provincial sectors</x:v>
      </x:c>
      <x:c r="F4" s="53" t="str">
        <x:v>calibrated reconstruction; not historical author input</x:v>
      </x:c>
    </x:row>
    <x:row r="5" ht="34" hidden="0" customHeight="1">
      <x:c r="A5" s="48" t="str">
        <x:v>catch_limit</x:v>
      </x:c>
      <x:c r="B5" s="48" t="n">
        <x:v>13065600</x:v>
      </x:c>
      <x:c r="C5" s="48" t="str">
        <x:v>tonnes</x:v>
      </x:c>
      <x:c r="D5" s="53" t="str">
        <x:v>national capture constraint in surrogate</x:v>
      </x:c>
      <x:c r="E5" s="53" t="str">
        <x:v>Model proxy aligned to 2023 national total capture</x:v>
      </x:c>
      <x:c r="F5" s="53" t="str">
        <x:v>calibrated reconstruction; not historical author input</x:v>
      </x:c>
    </x:row>
    <x:row r="6" ht="34" hidden="0" customHeight="1">
      <x:c r="A6" s="48" t="str">
        <x:v>total_limit</x:v>
      </x:c>
      <x:c r="B6" s="48" t="n">
        <x:v>78277887.60000001</x:v>
      </x:c>
      <x:c r="C6" s="48" t="str">
        <x:v>tonnes</x:v>
      </x:c>
      <x:c r="D6" s="53" t="str">
        <x:v>110% of production anchor</x:v>
      </x:c>
      <x:c r="E6" s="53" t="str">
        <x:v>deterministic model rule</x:v>
      </x:c>
      <x:c r="F6" s="53" t="str">
        <x:v>calibrated reconstruction; not historical author input</x:v>
      </x:c>
    </x:row>
    <x:row r="7" ht="34" hidden="0" customHeight="1">
      <x:c r="A7" s="48" t="str">
        <x:v>processing_limit</x:v>
      </x:c>
      <x:c r="B7" s="48" t="n">
        <x:v>26329834.919999998</x:v>
      </x:c>
      <x:c r="C7" s="48" t="str">
        <x:v>tonnes</x:v>
      </x:c>
      <x:c r="D7" s="53" t="str">
        <x:v>37% of production anchor</x:v>
      </x:c>
      <x:c r="E7" s="53" t="str">
        <x:v>deterministic model rule</x:v>
      </x:c>
      <x:c r="F7" s="53" t="str">
        <x:v>calibrated reconstruction; not historical author input</x:v>
      </x:c>
    </x:row>
    <x:row r="8" ht="34" hidden="0" customHeight="1">
      <x:c r="A8" s="48" t="str">
        <x:v>minimum_supply</x:v>
      </x:c>
      <x:c r="B8" s="48" t="n">
        <x:v>41273795.279999994</x:v>
      </x:c>
      <x:c r="C8" s="48" t="str">
        <x:v>tonnes</x:v>
      </x:c>
      <x:c r="D8" s="53" t="str">
        <x:v>58% of production anchor</x:v>
      </x:c>
      <x:c r="E8" s="53" t="str">
        <x:v>deterministic model rule</x:v>
      </x:c>
      <x:c r="F8" s="53" t="str">
        <x:v>calibrated reconstruction; not historical author input</x:v>
      </x:c>
    </x:row>
    <x:row r="9" ht="34" hidden="0" customHeight="1">
      <x:c r="A9" s="48" t="str">
        <x:v>power_limit</x:v>
      </x:c>
      <x:c r="B9" s="48" t="n">
        <x:v>18940154</x:v>
      </x:c>
      <x:c r="C9" s="48" t="str">
        <x:v>kW</x:v>
      </x:c>
      <x:c r="D9" s="53" t="str">
        <x:v>2023 fleet-power anchor</x:v>
      </x:c>
      <x:c r="E9" s="53" t="str">
        <x:v>Paper Table 3</x:v>
      </x:c>
      <x:c r="F9" s="53" t="str">
        <x:v>article transcription</x:v>
      </x:c>
    </x:row>
    <x:row r="10" ht="34" hidden="0" customHeight="1">
      <x:c r="A10" s="48" t="str">
        <x:v>capture_share_max</x:v>
      </x:c>
      <x:c r="B10" s="48" t="n">
        <x:v>0.28</x:v>
      </x:c>
      <x:c r="C10" s="48" t="str">
        <x:v>ratio</x:v>
      </x:c>
      <x:c r="D10" s="53" t="str">
        <x:v>constraint threshold</x:v>
      </x:c>
      <x:c r="E10" s="53" t="str">
        <x:v>public surrogate implementation</x:v>
      </x:c>
      <x:c r="F10" s="53" t="str">
        <x:v>calibrated reconstruction; not historical author input</x:v>
      </x:c>
    </x:row>
    <x:row r="11" ht="34" hidden="0" customHeight="1">
      <x:c r="A11" s="48" t="str">
        <x:v>hv_reference_1</x:v>
      </x:c>
      <x:c r="B11" s="48" t="n">
        <x:v>1.05</x:v>
      </x:c>
      <x:c r="C11" s="48" t="str">
        <x:v>cost-space score</x:v>
      </x:c>
      <x:c r="D11" s="53" t="str">
        <x:v>new-run HV reference point</x:v>
      </x:c>
      <x:c r="E11" s="53" t="str">
        <x:v>declared replacement metric method</x:v>
      </x:c>
      <x:c r="F11" s="53" t="str">
        <x:v>newly executed 30-run surrogate verification; not original author-run logs</x:v>
      </x:c>
    </x:row>
    <x:row r="12" ht="34" hidden="0" customHeight="1">
      <x:c r="A12" s="48" t="str">
        <x:v>hv_reference_2</x:v>
      </x:c>
      <x:c r="B12" s="48" t="n">
        <x:v>1.05</x:v>
      </x:c>
      <x:c r="C12" s="48" t="str">
        <x:v>cost-space score</x:v>
      </x:c>
      <x:c r="D12" s="53" t="str">
        <x:v>new-run HV reference point</x:v>
      </x:c>
      <x:c r="E12" s="53" t="str">
        <x:v>declared replacement metric method</x:v>
      </x:c>
      <x:c r="F12" s="53" t="str">
        <x:v>newly executed 30-run surrogate verification; not original author-run logs</x:v>
      </x:c>
    </x:row>
    <x:row r="13" ht="34" hidden="0" customHeight="1">
      <x:c r="A13" s="48" t="str">
        <x:v>hv_reference_3</x:v>
      </x:c>
      <x:c r="B13" s="48" t="n">
        <x:v>1.05</x:v>
      </x:c>
      <x:c r="C13" s="48" t="str">
        <x:v>cost-space score</x:v>
      </x:c>
      <x:c r="D13" s="53" t="str">
        <x:v>new-run HV reference point</x:v>
      </x:c>
      <x:c r="E13" s="53" t="str">
        <x:v>declared replacement metric method</x:v>
      </x:c>
      <x:c r="F13" s="53" t="str">
        <x:v>newly executed 30-run surrogate verification; not original author-run logs</x:v>
      </x:c>
    </x:row>
  </x:sheetData>
  <x:pageMargins left="0.7" right="0.7" top="0.75" bottom="0.75" header="0.3" footer="0.3"/>
  <x:tableParts count="1">
    <x:tablePart xmlns:r="http://schemas.openxmlformats.org/officeDocument/2006/relationships" r:id="Ree73277b3a8649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20" hidden="0" customWidth="1"/>
    <x:col min="4" max="4" width="18" hidden="0" customWidth="1"/>
    <x:col min="5" max="5" width="55" hidden="0" customWidth="1"/>
  </x:cols>
  <x:sheetData>
    <x:row r="1" ht="42" hidden="0" customHeight="1">
      <x:c r="A1" s="52" t="str">
        <x:v>field</x:v>
      </x:c>
      <x:c r="B1" s="52" t="str">
        <x:v>meaning</x:v>
      </x:c>
      <x:c r="C1" s="52" t="str">
        <x:v>unit</x:v>
      </x:c>
      <x:c r="D1" s="52" t="str">
        <x:v>original_available</x:v>
      </x:c>
      <x:c r="E1" s="52" t="str">
        <x:v>construction</x:v>
      </x:c>
    </x:row>
    <x:row r="2" ht="34" hidden="0" customHeight="1">
      <x:c r="A2" s="48" t="str">
        <x:v>*_official_*</x:v>
      </x:c>
      <x:c r="B2" s="53" t="str">
        <x:v>Values transcribed from the six 2024 NBS province tables</x:v>
      </x:c>
      <x:c r="C2" s="48" t="str">
        <x:v>as named</x:v>
      </x:c>
      <x:c r="D2" s="48" t="str">
        <x:v>public replacement only</x:v>
      </x:c>
      <x:c r="E2" s="53" t="str">
        <x:v>Direct transcription; no interpolation; official URLs retained in the source data dictionary</x:v>
      </x:c>
    </x:row>
    <x:row r="3" ht="34" hidden="0" customHeight="1">
      <x:c r="A3" s="48" t="str">
        <x:v>official_2024_sector_tonnes</x:v>
      </x:c>
      <x:c r="B3" s="53" t="str">
        <x:v>Province-sector output before paper calibration</x:v>
      </x:c>
      <x:c r="C3" s="48" t="str">
        <x:v>tonnes</x:v>
      </x:c>
      <x:c r="D3" s="48" t="str">
        <x:v>public replacement only</x:v>
      </x:c>
      <x:c r="E3" s="53" t="str">
        <x:v>NBS Table 12-15 printed value x 10,000</x:v>
      </x:c>
    </x:row>
    <x:row r="4" ht="34" hidden="0" customHeight="1">
      <x:c r="A4" s="48" t="str">
        <x:v>paper_calibrated_sector_tonnes</x:v>
      </x:c>
      <x:c r="B4" s="53" t="str">
        <x:v>Official 2024 province-sector pattern scaled to the paper's 2023 total</x:v>
      </x:c>
      <x:c r="C4" s="48" t="str">
        <x:v>tonnes</x:v>
      </x:c>
      <x:c r="D4" s="48" t="str">
        <x:v>no</x:v>
      </x:c>
      <x:c r="E4" s="53" t="str">
        <x:v>official_2024_sector_tonnes x 71,161,716 / sum(all official province-sector tonnes)</x:v>
      </x:c>
    </x:row>
    <x:row r="5" ht="34" hidden="0" customHeight="1">
      <x:c r="A5" s="48" t="str">
        <x:v>assumed_mode_share</x:v>
      </x:c>
      <x:c r="B5" s="53" t="str">
        <x:v>Sector-specific split between fresh sales and deep processing</x:v>
      </x:c>
      <x:c r="C5" s="48" t="str">
        <x:v>ratio</x:v>
      </x:c>
      <x:c r="D5" s="48" t="str">
        <x:v>no</x:v>
      </x:c>
      <x:c r="E5" s="53" t="str">
        <x:v>Declared assumptions: capture 62/38 and 67/33; aquaculture 74/26 and 78/22</x:v>
      </x:c>
    </x:row>
    <x:row r="6" ht="34" hidden="0" customHeight="1">
      <x:c r="A6" s="48" t="str">
        <x:v>region_share_processed</x:v>
      </x:c>
      <x:c r="B6" s="53" t="str">
        <x:v>Regional share of the four official aquatic-product sectors</x:v>
      </x:c>
      <x:c r="C6" s="48" t="str">
        <x:v>ratio</x:v>
      </x:c>
      <x:c r="D6" s="48" t="str">
        <x:v>no</x:v>
      </x:c>
      <x:c r="E6" s="53" t="str">
        <x:v>Calibrated province total divided by 71,161,716; sums to one</x:v>
      </x:c>
    </x:row>
    <x:row r="7" ht="34" hidden="0" customHeight="1">
      <x:c r="A7" s="48" t="str">
        <x:v>digital_index_processed</x:v>
      </x:c>
      <x:c r="B7" s="53" t="str">
        <x:v>External proxy for the unreleased regional EWM fishery digitalisation index</x:v>
      </x:c>
      <x:c r="C7" s="48" t="str">
        <x:v>0-1 score</x:v>
      </x:c>
      <x:c r="D7" s="48" t="str">
        <x:v>no</x:v>
      </x:c>
      <x:c r="E7" s="53" t="str">
        <x:v>0.25 + 0.70 x [0.60 minmax(e-commerce adoption) + 0.40 minmax(log(1+sales/enterprise))]</x:v>
      </x:c>
    </x:row>
    <x:row r="8" ht="34" hidden="0" customHeight="1">
      <x:c r="A8" s="48" t="str">
        <x:v>income_multiplier_processed</x:v>
      </x:c>
      <x:c r="B8" s="53" t="str">
        <x:v>Regional economic-value multiplier</x:v>
      </x:c>
      <x:c r="C8" s="48" t="str">
        <x:v>ratio</x:v>
      </x:c>
      <x:c r="D8" s="48" t="str">
        <x:v>no</x:v>
      </x:c>
      <x:c r="E8" s="53" t="str">
        <x:v>2024 provincial disposable income / 2024 national average; clipped to 0.65-1.45</x:v>
      </x:c>
    </x:row>
    <x:row r="9" ht="34" hidden="0" customHeight="1">
      <x:c r="A9" s="48" t="str">
        <x:v>social_need_multiplier_processed</x:v>
      </x:c>
      <x:c r="B9" s="53" t="str">
        <x:v>Inverse-income social-need adjustment</x:v>
      </x:c>
      <x:c r="C9" s="48" t="str">
        <x:v>ratio</x:v>
      </x:c>
      <x:c r="D9" s="48" t="str">
        <x:v>no</x:v>
      </x:c>
      <x:c r="E9" s="53" t="str">
        <x:v>2024 national disposable-income average / province income; clipped to 0.65-1.45</x:v>
      </x:c>
    </x:row>
    <x:row r="10" ht="34" hidden="0" customHeight="1">
      <x:c r="A10" s="48" t="str">
        <x:v>ecological_pressure_index_processed</x:v>
      </x:c>
      <x:c r="B10" s="53" t="str">
        <x:v>External wastewater-pressure proxy; not a fishery-water-quality measure</x:v>
      </x:c>
      <x:c r="C10" s="48" t="str">
        <x:v>0-1 score</x:v>
      </x:c>
      <x:c r="D10" s="48" t="str">
        <x:v>no</x:v>
      </x:c>
      <x:c r="E10" s="53" t="str">
        <x:v>minmax(log(1 + (COD + 20 x total phosphorus) / population))</x:v>
      </x:c>
    </x:row>
    <x:row r="11" ht="34" hidden="0" customHeight="1">
      <x:c r="A11" s="48" t="str">
        <x:v>freight_index_processed</x:v>
      </x:c>
      <x:c r="B11" s="53" t="str">
        <x:v>External logistics-capacity proxy</x:v>
      </x:c>
      <x:c r="C11" s="48" t="str">
        <x:v>0-1 score</x:v>
      </x:c>
      <x:c r="D11" s="48" t="str">
        <x:v>no</x:v>
      </x:c>
      <x:c r="E11" s="53" t="str">
        <x:v>minmax(log(1 + regional freight tonnage))</x:v>
      </x:c>
    </x:row>
    <x:row r="12" ht="34" hidden="0" customHeight="1">
      <x:c r="A12" s="48" t="str">
        <x:v>workforce_processed_people</x:v>
      </x:c>
      <x:c r="B12" s="53" t="str">
        <x:v>Regional fishery workforce denominator</x:v>
      </x:c>
      <x:c r="C12" s="48" t="str">
        <x:v>people</x:v>
      </x:c>
      <x:c r="D12" s="48" t="str">
        <x:v>no</x:v>
      </x:c>
      <x:c r="E12" s="53" t="str">
        <x:v>11,762,300 distributed with 75% production share and 25% population share</x:v>
      </x:c>
    </x:row>
    <x:row r="13" ht="34" hidden="0" customHeight="1">
      <x:c r="A13" s="48" t="str">
        <x:v>cold_capacity_processed_tonnes</x:v>
      </x:c>
      <x:c r="B13" s="53" t="str">
        <x:v>Regional processing/cold-chain capacity</x:v>
      </x:c>
      <x:c r="C13" s="48" t="str">
        <x:v>tonnes</x:v>
      </x:c>
      <x:c r="D13" s="48" t="str">
        <x:v>no</x:v>
      </x:c>
      <x:c r="E13" s="53" t="str">
        <x:v>Calibrated province production x (0.18 + 0.22 x freight index)</x:v>
      </x:c>
    </x:row>
    <x:row r="14" ht="34" hidden="0" customHeight="1">
      <x:c r="A14" s="48" t="str">
        <x:v>power_capacity_processed_kw</x:v>
      </x:c>
      <x:c r="B14" s="53" t="str">
        <x:v>Regional fleet-power capacity</x:v>
      </x:c>
      <x:c r="C14" s="48" t="str">
        <x:v>kW</x:v>
      </x:c>
      <x:c r="D14" s="48" t="str">
        <x:v>no</x:v>
      </x:c>
      <x:c r="E14" s="53" t="str">
        <x:v>18,940,154 distributed by calibrated capture output plus 5% of total output</x:v>
      </x:c>
    </x:row>
    <x:row r="15" ht="34" hidden="0" customHeight="1">
      <x:c r="A15" s="48" t="str">
        <x:v>upper_bound_processed_tonnes</x:v>
      </x:c>
      <x:c r="B15" s="53" t="str">
        <x:v>Maximum decoded allocation for one region-sector-mode decision variable</x:v>
      </x:c>
      <x:c r="C15" s="48" t="str">
        <x:v>tonnes</x:v>
      </x:c>
      <x:c r="D15" s="48" t="str">
        <x:v>no</x:v>
      </x:c>
      <x:c r="E15" s="53" t="str">
        <x:v>1.20 x calibrated province-sector output x assumed utilisation-mode share</x:v>
      </x:c>
    </x:row>
    <x:row r="16" ht="34" hidden="0" customHeight="1">
      <x:c r="A16" s="48" t="str">
        <x:v>income_coefficient_proxy</x:v>
      </x:c>
      <x:c r="B16" s="53" t="str">
        <x:v>Unit social-income coefficient</x:v>
      </x:c>
      <x:c r="C16" s="48" t="str">
        <x:v>normalized coefficient</x:v>
      </x:c>
      <x:c r="D16" s="48" t="str">
        <x:v>no</x:v>
      </x:c>
      <x:c r="E16" s="53" t="str">
        <x:v>Explicit 4x2 surrogate coefficient table</x:v>
      </x:c>
    </x:row>
    <x:row r="17" ht="34" hidden="0" customHeight="1">
      <x:c r="A17" s="48" t="str">
        <x:v>marginal_value_coefficient_proxy</x:v>
      </x:c>
      <x:c r="B17" s="53" t="str">
        <x:v>Processing/marketing marginal output value</x:v>
      </x:c>
      <x:c r="C17" s="48" t="str">
        <x:v>normalized coefficient</x:v>
      </x:c>
      <x:c r="D17" s="48" t="str">
        <x:v>no</x:v>
      </x:c>
      <x:c r="E17" s="53" t="str">
        <x:v>Explicit 4x2 surrogate coefficient table</x:v>
      </x:c>
    </x:row>
    <x:row r="18" ht="34" hidden="0" customHeight="1">
      <x:c r="A18" s="48" t="str">
        <x:v>supply_chain_cost_coefficient_proxy</x:v>
      </x:c>
      <x:c r="B18" s="53" t="str">
        <x:v>Processing and cold-chain/logistics cost</x:v>
      </x:c>
      <x:c r="C18" s="48" t="str">
        <x:v>normalized coefficient</x:v>
      </x:c>
      <x:c r="D18" s="48" t="str">
        <x:v>no</x:v>
      </x:c>
      <x:c r="E18" s="53" t="str">
        <x:v>Explicit 4x2 surrogate coefficient table</x:v>
      </x:c>
    </x:row>
    <x:row r="19" ht="34" hidden="0" customHeight="1">
      <x:c r="A19" s="48" t="str">
        <x:v>ecological_weight_proxy</x:v>
      </x:c>
      <x:c r="B19" s="53" t="str">
        <x:v>Relative ecological desirability weight</x:v>
      </x:c>
      <x:c r="C19" s="48" t="str">
        <x:v>normalized coefficient</x:v>
      </x:c>
      <x:c r="D19" s="48" t="str">
        <x:v>no</x:v>
      </x:c>
      <x:c r="E19" s="53" t="str">
        <x:v>Explicit 4x2 surrogate coefficient table</x:v>
      </x:c>
    </x:row>
    <x:row r="20" ht="34" hidden="0" customHeight="1">
      <x:c r="A20" s="48" t="str">
        <x:v>fleet_power_coefficient_proxy</x:v>
      </x:c>
      <x:c r="B20" s="53" t="str">
        <x:v>Sector-specific fleet-power intensity</x:v>
      </x:c>
      <x:c r="C20" s="48" t="str">
        <x:v>relative coefficient</x:v>
      </x:c>
      <x:c r="D20" s="48" t="str">
        <x:v>no</x:v>
      </x:c>
      <x:c r="E20" s="53" t="str">
        <x:v>Explicit 4-element surrogate coefficient vector</x:v>
      </x:c>
    </x:row>
  </x:sheetData>
  <x:pageMargins left="0.7" right="0.7" top="0.75" bottom="0.75" header="0.3" footer="0.3"/>
  <x:tableParts count="1">
    <x:tablePart xmlns:r="http://schemas.openxmlformats.org/officeDocument/2006/relationships" r:id="R4723a75c4fe544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28" hidden="0" customWidth="1"/>
    <x:col min="4" max="4" width="62" hidden="0" customWidth="1"/>
    <x:col min="5" max="5" width="48" hidden="0" customWidth="1"/>
    <x:col min="6" max="6" width="18" hidden="0" customWidth="1"/>
  </x:cols>
  <x:sheetData>
    <x:row r="1" ht="42" hidden="0" customHeight="1">
      <x:c r="A1" s="52" t="str">
        <x:v>request_item</x:v>
      </x:c>
      <x:c r="B1" s="52" t="str">
        <x:v>expected_material_or_variable</x:v>
      </x:c>
      <x:c r="C1" s="52" t="str">
        <x:v>status</x:v>
      </x:c>
      <x:c r="D1" s="52" t="str">
        <x:v>reason</x:v>
      </x:c>
      <x:c r="E1" s="52" t="str">
        <x:v>current_replacement</x:v>
      </x:c>
      <x:c r="F1" s="52" t="str">
        <x:v>may_be_described_as_original</x:v>
      </x:c>
    </x:row>
    <x:row r="2" ht="42" hidden="0" customHeight="1">
      <x:c r="A2" s="48" t="n">
        <x:v>1</x:v>
      </x:c>
      <x:c r="B2" s="53" t="str">
        <x:v>Contemporaneous 31-province coefficient/input matrix</x:v>
      </x:c>
      <x:c r="C2" s="48" t="str">
        <x:v>unavailable_in_retained_archive</x:v>
      </x:c>
      <x:c r="D2" s="53" t="str">
        <x:v>No province-level input workbook or matrix file is present among the retained manuscript and repository materials</x:v>
      </x:c>
      <x:c r="E2" s="53" t="str">
        <x:v>03_Reconstructed_31_Province_Inputs.xlsx</x:v>
      </x:c>
      <x:c r="F2" s="48" t="str">
        <x:v>no</x:v>
      </x:c>
    </x:row>
    <x:row r="3" ht="42" hidden="0" customHeight="1">
      <x:c r="A3" s="48" t="n">
        <x:v>1</x:v>
      </x:c>
      <x:c r="B3" s="53" t="str">
        <x:v>Original region-index-to-province mapping r01-r31</x:v>
      </x:c>
      <x:c r="C3" s="48" t="str">
        <x:v>unavailable_in_retained_archive</x:v>
      </x:c>
      <x:c r="D3" s="53" t="str">
        <x:v>The manuscript defines 31 regions but does not disclose the row order</x:v>
      </x:c>
      <x:c r="E3" s="53" t="str">
        <x:v>data/reconstructed/province_inputs.csv</x:v>
      </x:c>
      <x:c r="F3" s="48" t="str">
        <x:v>no</x:v>
      </x:c>
    </x:row>
    <x:row r="4" ht="42" hidden="0" customHeight="1">
      <x:c r="A4" s="48" t="n">
        <x:v>1</x:v>
      </x:c>
      <x:c r="B4" s="53" t="str">
        <x:v>Production inputs by province/year/sector: marine capture; freshwater capture; marine aquaculture; freshwater aquaculture</x:v>
      </x:c>
      <x:c r="C4" s="48" t="str">
        <x:v>unavailable_in_retained_archive</x:v>
      </x:c>
      <x:c r="D4" s="53" t="str">
        <x:v>The contemporaneous workbook is absent; a later official 2024 NBS table is available as replacement evidence</x:v>
      </x:c>
      <x:c r="E4" s="53" t="str">
        <x:v>data/source/nbs_2024_31_province_public_panel.csv and data/reconstructed/coefficient_matrix_248_rows.csv</x:v>
      </x:c>
      <x:c r="F4" s="48" t="str">
        <x:v>no</x:v>
      </x:c>
    </x:row>
    <x:row r="5" ht="42" hidden="0" customHeight="1">
      <x:c r="A5" s="48" t="n">
        <x:v>1</x:v>
      </x:c>
      <x:c r="B5" s="53" t="str">
        <x:v>Utilisation split by province between fresh sales and deep processing</x:v>
      </x:c>
      <x:c r="C5" s="48" t="str">
        <x:v>unavailable_in_retained_archive</x:v>
      </x:c>
      <x:c r="D5" s="53" t="str">
        <x:v>No province-by-mode historical table is retained</x:v>
      </x:c>
      <x:c r="E5" s="53" t="str">
        <x:v>data/reconstructed/coefficient_matrix_248_rows.csv</x:v>
      </x:c>
      <x:c r="F5" s="48" t="str">
        <x:v>no</x:v>
      </x:c>
    </x:row>
    <x:row r="6" ht="42" hidden="0" customHeight="1">
      <x:c r="A6" s="48" t="n">
        <x:v>1</x:v>
      </x:c>
      <x:c r="B6" s="53" t="str">
        <x:v>Regional workforce N_r and unit-income coefficients</x:v>
      </x:c>
      <x:c r="C6" s="48" t="str">
        <x:v>unavailable_in_retained_archive</x:v>
      </x:c>
      <x:c r="D6" s="53" t="str">
        <x:v>The manuscript gives definitions but not the 31-region values or construction workbook</x:v>
      </x:c>
      <x:c r="E6" s="53" t="str">
        <x:v>data/reconstructed/province_inputs.csv and sector_mode_coefficients.csv</x:v>
      </x:c>
      <x:c r="F6" s="48" t="str">
        <x:v>no</x:v>
      </x:c>
    </x:row>
    <x:row r="7" ht="42" hidden="0" customHeight="1">
      <x:c r="A7" s="48" t="n">
        <x:v>1</x:v>
      </x:c>
      <x:c r="B7" s="53" t="str">
        <x:v>Digitalisation inputs: VMS/AIS density; traceability adoption; temperature-monitoring coverage; EWM weights; D_r</x:v>
      </x:c>
      <x:c r="C7" s="48" t="str">
        <x:v>unavailable_in_retained_archive</x:v>
      </x:c>
      <x:c r="D7" s="53" t="str">
        <x:v>The manuscript lists dimensions but not observations, normalisation bounds, entropy weights, or final regional index</x:v>
      </x:c>
      <x:c r="E7" s="53" t="str">
        <x:v>Official 2024 enterprise e-commerce observations plus a clearly labelled external digital proxy in data/reconstructed/province_inputs.csv</x:v>
      </x:c>
      <x:c r="F7" s="48" t="str">
        <x:v>no</x:v>
      </x:c>
    </x:row>
    <x:row r="8" ht="42" hidden="0" customHeight="1">
      <x:c r="A8" s="48" t="n">
        <x:v>1</x:v>
      </x:c>
      <x:c r="B8" s="53" t="str">
        <x:v>Marginal output values, processing/marketing values, and supply-chain costs</x:v>
      </x:c>
      <x:c r="C8" s="48" t="str">
        <x:v>unavailable_in_retained_archive</x:v>
      </x:c>
      <x:c r="D8" s="53" t="str">
        <x:v>No coefficient table or source workbook is retained</x:v>
      </x:c>
      <x:c r="E8" s="53" t="str">
        <x:v>data/reconstructed/sector_mode_coefficients.csv</x:v>
      </x:c>
      <x:c r="F8" s="48" t="str">
        <x:v>no</x:v>
      </x:c>
    </x:row>
    <x:row r="9" ht="42" hidden="0" customHeight="1">
      <x:c r="A9" s="48" t="n">
        <x:v>1</x:v>
      </x:c>
      <x:c r="B9" s="53" t="str">
        <x:v>Regional ecological weights and regional TAC limits</x:v>
      </x:c>
      <x:c r="C9" s="48" t="str">
        <x:v>unavailable_in_retained_archive</x:v>
      </x:c>
      <x:c r="D9" s="53" t="str">
        <x:v>The manuscript defines the quantities but does not publish the province-level values</x:v>
      </x:c>
      <x:c r="E9" s="53" t="str">
        <x:v>Official 2024 wastewater observations plus a clearly labelled pressure proxy in coefficient_matrix_248_rows.csv; national constraints in national_constraints.csv</x:v>
      </x:c>
      <x:c r="F9" s="48" t="str">
        <x:v>no</x:v>
      </x:c>
    </x:row>
    <x:row r="10" ht="42" hidden="0" customHeight="1">
      <x:c r="A10" s="48" t="n">
        <x:v>1</x:v>
      </x:c>
      <x:c r="B10" s="53" t="str">
        <x:v>Regional cold-storage throughput, cold-chain capacity and 2014-2023 moving-average CCI</x:v>
      </x:c>
      <x:c r="C10" s="48" t="str">
        <x:v>unavailable_in_retained_archive</x:v>
      </x:c>
      <x:c r="D10" s="53" t="str">
        <x:v>The manuscript cites the China Fisheries Statistical Yearbook but the underlying extracted workbook and moving-average calculation file are not retained</x:v>
      </x:c>
      <x:c r="E10" s="53" t="str">
        <x:v>data/reconstructed/province_inputs.csv</x:v>
      </x:c>
      <x:c r="F10" s="48" t="str">
        <x:v>no</x:v>
      </x:c>
    </x:row>
    <x:row r="11" ht="42" hidden="0" customHeight="1">
      <x:c r="A11" s="48" t="n">
        <x:v>1</x:v>
      </x:c>
      <x:c r="B11" s="53" t="str">
        <x:v>Regional fleet-power limits, minimum supply and flow-balance inputs</x:v>
      </x:c>
      <x:c r="C11" s="48" t="str">
        <x:v>unavailable_in_retained_archive</x:v>
      </x:c>
      <x:c r="D11" s="53" t="str">
        <x:v>No province-level constraint file is retained</x:v>
      </x:c>
      <x:c r="E11" s="53" t="str">
        <x:v>data/reconstructed/province_inputs.csv and national_constraints.csv</x:v>
      </x:c>
      <x:c r="F11" s="48" t="str">
        <x:v>no</x:v>
      </x:c>
    </x:row>
    <x:row r="12" ht="42" hidden="0" customHeight="1">
      <x:c r="A12" s="48" t="n">
        <x:v>2</x:v>
      </x:c>
      <x:c r="B12" s="53" t="str">
        <x:v>Original raw/source spreadsheets used to build the matrix</x:v>
      </x:c>
      <x:c r="C12" s="48" t="str">
        <x:v>unavailable_in_retained_archive</x:v>
      </x:c>
      <x:c r="D12" s="53" t="str">
        <x:v>No contemporaneous raw workbook, cleaned workbook, or join/interpolation file is present</x:v>
      </x:c>
      <x:c r="E12" s="53" t="str">
        <x:v>data/source/ contains replacement official-source transcriptions, national reconciliations and direct URLs</x:v>
      </x:c>
      <x:c r="F12" s="48" t="str">
        <x:v>no</x:v>
      </x:c>
    </x:row>
    <x:row r="13" ht="42" hidden="0" customHeight="1">
      <x:c r="A13" s="48" t="n">
        <x:v>2</x:v>
      </x:c>
      <x:c r="B13" s="53" t="str">
        <x:v>Preprocessing log: unit conversion, interpolation, moving-average completion, harmonisation and EWM calculation</x:v>
      </x:c>
      <x:c r="C13" s="48" t="str">
        <x:v>unavailable_in_retained_archive</x:v>
      </x:c>
      <x:c r="D13" s="53" t="str">
        <x:v>The manuscript describes these procedures but no historical row-level transformation log is retained</x:v>
      </x:c>
      <x:c r="E13" s="53" t="str">
        <x:v>06_PUBLIC_DATA_AND_REVERSE_CALIBRATION_METHOD.md; data/reconstructed/derivation_rules.csv; variable_dictionary.csv</x:v>
      </x:c>
      <x:c r="F13" s="48" t="str">
        <x:v>no</x:v>
      </x:c>
    </x:row>
    <x:row r="14" ht="42" hidden="0" customHeight="1">
      <x:c r="A14" s="48" t="n">
        <x:v>3</x:v>
      </x:c>
      <x:c r="B14" s="53" t="str">
        <x:v>Original seeds, initial populations and 30-run configuration snapshot</x:v>
      </x:c>
      <x:c r="C14" s="48" t="str">
        <x:v>unavailable_in_retained_archive</x:v>
      </x:c>
      <x:c r="D14" s="53" t="str">
        <x:v>The manuscript reports 30 runs and aggregate settings but no contemporaneous run configuration is retained</x:v>
      </x:c>
      <x:c r="E14" s="53" t="str">
        <x:v>runs/new_30run_surrogate/config_snapshot.yaml</x:v>
      </x:c>
      <x:c r="F14" s="48" t="str">
        <x:v>no</x:v>
      </x:c>
    </x:row>
    <x:row r="15" ht="42" hidden="0" customHeight="1">
      <x:c r="A15" s="48" t="n">
        <x:v>3</x:v>
      </x:c>
      <x:c r="B15" s="53" t="str">
        <x:v>Original per-generation populations, objectives, constraints, feasibility and reference-point relocation histories</x:v>
      </x:c>
      <x:c r="C15" s="48" t="str">
        <x:v>unavailable_in_retained_archive</x:v>
      </x:c>
      <x:c r="D15" s="53" t="str">
        <x:v>No historical run directory or logs are present</x:v>
      </x:c>
      <x:c r="E15" s="53" t="str">
        <x:v>runs/new_30run_surrogate/generation_log.csv and reference_relocation_log.csv</x:v>
      </x:c>
      <x:c r="F15" s="48" t="str">
        <x:v>no</x:v>
      </x:c>
    </x:row>
    <x:row r="16" ht="42" hidden="0" customHeight="1">
      <x:c r="A16" s="48" t="n">
        <x:v>3</x:v>
      </x:c>
      <x:c r="B16" s="53" t="str">
        <x:v>Original final decision vectors and non-dominated fronts</x:v>
      </x:c>
      <x:c r="C16" s="48" t="str">
        <x:v>unavailable_in_retained_archive</x:v>
      </x:c>
      <x:c r="D16" s="53" t="str">
        <x:v>No historical population or Pareto-front files are present</x:v>
      </x:c>
      <x:c r="E16" s="53" t="str">
        <x:v>runs/new_30run_surrogate/final_population_decision_vectors.csv and final_population_objectives_constraints.csv</x:v>
      </x:c>
      <x:c r="F16" s="48" t="str">
        <x:v>no</x:v>
      </x:c>
    </x:row>
    <x:row r="17" ht="42" hidden="0" customHeight="1">
      <x:c r="A17" s="48" t="n">
        <x:v>3</x:v>
      </x:c>
      <x:c r="B17" s="53" t="str">
        <x:v>Original HV normalisation, HV reference point, IGD reference front and per-run metric values</x:v>
      </x:c>
      <x:c r="C17" s="48" t="str">
        <x:v>unavailable_in_retained_archive</x:v>
      </x:c>
      <x:c r="D17" s="53" t="str">
        <x:v>The manuscript reports aggregate/figure values but does not disclose the full metric definition or reference set</x:v>
      </x:c>
      <x:c r="E17" s="53" t="str">
        <x:v>runs/new_30run_surrogate/metric_definition.json and metric_recomputation_check.csv</x:v>
      </x:c>
      <x:c r="F17" s="48" t="str">
        <x:v>no</x:v>
      </x:c>
    </x:row>
    <x:row r="18" ht="42" hidden="0" customHeight="1">
      <x:c r="A18" s="48" t="n">
        <x:v>3</x:v>
      </x:c>
      <x:c r="B18" s="53" t="str">
        <x:v>Original runtime versions, hardware, elapsed time and random-number environment</x:v>
      </x:c>
      <x:c r="C18" s="48" t="str">
        <x:v>unavailable_in_retained_archive</x:v>
      </x:c>
      <x:c r="D18" s="53" t="str">
        <x:v>No contemporaneous environment lock or machine log is retained</x:v>
      </x:c>
      <x:c r="E18" s="53" t="str">
        <x:v>runs/new_30run_surrogate/run_metadata.json</x:v>
      </x:c>
      <x:c r="F18" s="48" t="str">
        <x:v>no</x:v>
      </x:c>
    </x:row>
    <x:row r="19" ht="42" hidden="0" customHeight="1">
      <x:c r="A19" s="48" t="n">
        <x:v>3</x:v>
      </x:c>
      <x:c r="B19" s="53" t="str">
        <x:v>Original sensitivity-analysis and ablation run logs</x:v>
      </x:c>
      <x:c r="C19" s="48" t="str">
        <x:v>unavailable_in_retained_archive</x:v>
      </x:c>
      <x:c r="D19" s="53" t="str">
        <x:v>Only plotted/aggregate results are present</x:v>
      </x:c>
      <x:c r="E19" s="53" t="str">
        <x:v>../results/data/ and ../implementations/figure_06 through figure_10</x:v>
      </x:c>
      <x:c r="F19" s="48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410e69156699439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38" hidden="0" customWidth="1"/>
    <x:col min="4" max="4" width="36" hidden="0" customWidth="1"/>
    <x:col min="5" max="5" width="62" hidden="0" customWidth="1"/>
    <x:col min="6" max="6" width="42" hidden="0" customWidth="1"/>
    <x:col min="7" max="7" width="30" hidden="0" customWidth="1"/>
    <x:col min="8" max="8" width="48" hidden="0" customWidth="1"/>
    <x:col min="9" max="9" width="16" hidden="0" customWidth="1"/>
    <x:col min="10" max="10" width="55" hidden="0" customWidth="1"/>
  </x:cols>
  <x:sheetData>
    <x:row r="1" ht="42" hidden="0" customHeight="1">
      <x:c r="A1" s="52" t="str">
        <x:v>source_id</x:v>
      </x:c>
      <x:c r="B1" s="52" t="str">
        <x:v>publisher</x:v>
      </x:c>
      <x:c r="C1" s="52" t="str">
        <x:v>dataset</x:v>
      </x:c>
      <x:c r="D1" s="52" t="str">
        <x:v>coverage</x:v>
      </x:c>
      <x:c r="E1" s="52" t="str">
        <x:v>url</x:v>
      </x:c>
      <x:c r="F1" s="52" t="str">
        <x:v>access</x:v>
      </x:c>
      <x:c r="G1" s="52" t="str">
        <x:v>license_or_terms</x:v>
      </x:c>
      <x:c r="H1" s="52" t="str">
        <x:v>repository_file</x:v>
      </x:c>
      <x:c r="I1" s="52" t="str">
        <x:v>retrieved_on</x:v>
      </x:c>
      <x:c r="J1" s="52" t="str">
        <x:v>notes</x:v>
      </x:c>
    </x:row>
    <x:row r="2" ht="46" hidden="0" customHeight="1">
      <x:c r="A2" s="48" t="str">
        <x:v>world_bank_er_fsh_prod_mt</x:v>
      </x:c>
      <x:c r="B2" s="48" t="str">
        <x:v>World Bank / FAO</x:v>
      </x:c>
      <x:c r="C2" s="53" t="str">
        <x:v>Total fisheries production</x:v>
      </x:c>
      <x:c r="D2" s="53" t="str">
        <x:v>China, 2014-2023 snapshot</x:v>
      </x:c>
      <x:c r="E2" s="48" t="str">
        <x:v>https://api.worldbank.org/v2/country/CHN/indicator/ER.FSH.PROD.MT?format=json&amp;date=2014:2023&amp;per_page=100</x:v>
      </x:c>
      <x:c r="F2" s="53" t="str">
        <x:v>Downloaded and normalized</x:v>
      </x:c>
      <x:c r="G2" s="53" t="str">
        <x:v>CC BY 4.0</x:v>
      </x:c>
      <x:c r="H2" s="53" t="str">
        <x:v>data/public/world_bank_fao_china_fisheries_2014_2023.csv</x:v>
      </x:c>
      <x:c r="I2" s="48" t="str">
        <x:v>2026-07-23</x:v>
      </x:c>
      <x:c r="J2" s="53" t="str">
        <x:v>National series; not a substitute for the missing 31-province coefficient matrix.</x:v>
      </x:c>
    </x:row>
    <x:row r="3" ht="46" hidden="0" customHeight="1">
      <x:c r="A3" s="48" t="str">
        <x:v>world_bank_er_fsh_aqua_mt</x:v>
      </x:c>
      <x:c r="B3" s="48" t="str">
        <x:v>World Bank / FAO</x:v>
      </x:c>
      <x:c r="C3" s="53" t="str">
        <x:v>Aquaculture production</x:v>
      </x:c>
      <x:c r="D3" s="53" t="str">
        <x:v>China, 2014-2023 snapshot</x:v>
      </x:c>
      <x:c r="E3" s="48" t="str">
        <x:v>https://api.worldbank.org/v2/country/CHN/indicator/ER.FSH.AQUA.MT?format=json&amp;date=2014:2023&amp;per_page=100</x:v>
      </x:c>
      <x:c r="F3" s="53" t="str">
        <x:v>Downloaded and normalized</x:v>
      </x:c>
      <x:c r="G3" s="53" t="str">
        <x:v>CC BY 4.0</x:v>
      </x:c>
      <x:c r="H3" s="53" t="str">
        <x:v>data/public/world_bank_fao_china_fisheries_2014_2023.csv</x:v>
      </x:c>
      <x:c r="I3" s="48" t="str">
        <x:v>2026-07-23</x:v>
      </x:c>
      <x:c r="J3" s="53" t="str">
        <x:v>National series; not a substitute for the missing 31-province coefficient matrix.</x:v>
      </x:c>
    </x:row>
    <x:row r="4" ht="46" hidden="0" customHeight="1">
      <x:c r="A4" s="48" t="str">
        <x:v>world_bank_er_fsh_capt_mt</x:v>
      </x:c>
      <x:c r="B4" s="48" t="str">
        <x:v>World Bank / FAO</x:v>
      </x:c>
      <x:c r="C4" s="53" t="str">
        <x:v>Capture fisheries production</x:v>
      </x:c>
      <x:c r="D4" s="53" t="str">
        <x:v>China, 2014-2023 snapshot</x:v>
      </x:c>
      <x:c r="E4" s="48" t="str">
        <x:v>https://api.worldbank.org/v2/country/CHN/indicator/ER.FSH.CAPT.MT?format=json&amp;date=2014:2023&amp;per_page=100</x:v>
      </x:c>
      <x:c r="F4" s="53" t="str">
        <x:v>Downloaded and normalized</x:v>
      </x:c>
      <x:c r="G4" s="53" t="str">
        <x:v>CC BY 4.0</x:v>
      </x:c>
      <x:c r="H4" s="53" t="str">
        <x:v>data/public/world_bank_fao_china_fisheries_2014_2023.csv</x:v>
      </x:c>
      <x:c r="I4" s="48" t="str">
        <x:v>2026-07-23</x:v>
      </x:c>
      <x:c r="J4" s="53" t="str">
        <x:v>National series; not a substitute for the missing 31-province coefficient matrix.</x:v>
      </x:c>
    </x:row>
    <x:row r="5" ht="46" hidden="0" customHeight="1">
      <x:c r="A5" s="48" t="str">
        <x:v>moa_communique_2015</x:v>
      </x:c>
      <x:c r="B5" s="48" t="str">
        <x:v>Ministry of Agriculture and Rural Affairs of the PRC</x:v>
      </x:c>
      <x:c r="C5" s="53" t="str">
        <x:v>2015 national fishery economic statistics communique</x:v>
      </x:c>
      <x:c r="D5" s="53" t="str">
        <x:v>China, 2015</x:v>
      </x:c>
      <x:c r="E5" s="48" t="str">
        <x:v>https://yyj.moa.gov.cn/gzdt/201904/t20190418_6195519.htm</x:v>
      </x:c>
      <x:c r="F5" s="53" t="str">
        <x:v>Key statistics extracted from official HTML</x:v>
      </x:c>
      <x:c r="G5" s="53" t="str">
        <x:v>Official website terms apply; numerical facts extracted with attribution</x:v>
      </x:c>
      <x:c r="H5" s="53" t="str">
        <x:v>data/public/moa_national_fishery_statistics.csv</x:v>
      </x:c>
      <x:c r="I5" s="48" t="str">
        <x:v>2026-07-23</x:v>
      </x:c>
      <x:c r="J5" s="53" t="str">
        <x:v>2017 is an attachment-only legacy DOC and 2018 was not available as an accessible official HTML page; neither is silently interpolated.</x:v>
      </x:c>
    </x:row>
    <x:row r="6" ht="46" hidden="0" customHeight="1">
      <x:c r="A6" s="48" t="str">
        <x:v>moa_communique_2016</x:v>
      </x:c>
      <x:c r="B6" s="48" t="str">
        <x:v>Ministry of Agriculture and Rural Affairs of the PRC</x:v>
      </x:c>
      <x:c r="C6" s="53" t="str">
        <x:v>2016 national fishery economic statistics communique</x:v>
      </x:c>
      <x:c r="D6" s="53" t="str">
        <x:v>China, 2016</x:v>
      </x:c>
      <x:c r="E6" s="48" t="str">
        <x:v>https://yyj.moa.gov.cn/gzdt/201904/t20190418_6195820.htm</x:v>
      </x:c>
      <x:c r="F6" s="53" t="str">
        <x:v>Key statistics extracted from official HTML</x:v>
      </x:c>
      <x:c r="G6" s="53" t="str">
        <x:v>Official website terms apply; numerical facts extracted with attribution</x:v>
      </x:c>
      <x:c r="H6" s="53" t="str">
        <x:v>data/public/moa_national_fishery_statistics.csv</x:v>
      </x:c>
      <x:c r="I6" s="48" t="str">
        <x:v>2026-07-23</x:v>
      </x:c>
      <x:c r="J6" s="53" t="str">
        <x:v>2017 is an attachment-only legacy DOC and 2018 was not available as an accessible official HTML page; neither is silently interpolated.</x:v>
      </x:c>
    </x:row>
    <x:row r="7" ht="46" hidden="0" customHeight="1">
      <x:c r="A7" s="48" t="str">
        <x:v>moa_communique_2019</x:v>
      </x:c>
      <x:c r="B7" s="48" t="str">
        <x:v>Ministry of Agriculture and Rural Affairs of the PRC</x:v>
      </x:c>
      <x:c r="C7" s="53" t="str">
        <x:v>2019 national fishery economic statistics communique</x:v>
      </x:c>
      <x:c r="D7" s="53" t="str">
        <x:v>China, 2019</x:v>
      </x:c>
      <x:c r="E7" s="48" t="str">
        <x:v>https://cnafun.moa.gov.cn/kx/gn/202006/t20200619_6346974.html</x:v>
      </x:c>
      <x:c r="F7" s="53" t="str">
        <x:v>Key statistics extracted from official HTML</x:v>
      </x:c>
      <x:c r="G7" s="53" t="str">
        <x:v>Official website terms apply; numerical facts extracted with attribution</x:v>
      </x:c>
      <x:c r="H7" s="53" t="str">
        <x:v>data/public/moa_national_fishery_statistics.csv</x:v>
      </x:c>
      <x:c r="I7" s="48" t="str">
        <x:v>2026-07-23</x:v>
      </x:c>
      <x:c r="J7" s="53" t="str">
        <x:v>2017 is an attachment-only legacy DOC and 2018 was not available as an accessible official HTML page; neither is silently interpolated.</x:v>
      </x:c>
    </x:row>
    <x:row r="8" ht="46" hidden="0" customHeight="1">
      <x:c r="A8" s="48" t="str">
        <x:v>moa_communique_2020</x:v>
      </x:c>
      <x:c r="B8" s="48" t="str">
        <x:v>Ministry of Agriculture and Rural Affairs of the PRC</x:v>
      </x:c>
      <x:c r="C8" s="53" t="str">
        <x:v>2020 national fishery economic statistics communique</x:v>
      </x:c>
      <x:c r="D8" s="53" t="str">
        <x:v>China, 2020</x:v>
      </x:c>
      <x:c r="E8" s="48" t="str">
        <x:v>https://yyj.moa.gov.cn/gzdt/202107/t20210728_6372958.htm</x:v>
      </x:c>
      <x:c r="F8" s="53" t="str">
        <x:v>Key statistics extracted from official HTML</x:v>
      </x:c>
      <x:c r="G8" s="53" t="str">
        <x:v>Official website terms apply; numerical facts extracted with attribution</x:v>
      </x:c>
      <x:c r="H8" s="53" t="str">
        <x:v>data/public/moa_national_fishery_statistics.csv</x:v>
      </x:c>
      <x:c r="I8" s="48" t="str">
        <x:v>2026-07-23</x:v>
      </x:c>
      <x:c r="J8" s="53" t="str">
        <x:v>2017 is an attachment-only legacy DOC and 2018 was not available as an accessible official HTML page; neither is silently interpolated.</x:v>
      </x:c>
    </x:row>
    <x:row r="9" ht="46" hidden="0" customHeight="1">
      <x:c r="A9" s="48" t="str">
        <x:v>moa_communique_2021</x:v>
      </x:c>
      <x:c r="B9" s="48" t="str">
        <x:v>Ministry of Agriculture and Rural Affairs of the PRC</x:v>
      </x:c>
      <x:c r="C9" s="53" t="str">
        <x:v>2021 national fishery economic statistics communique</x:v>
      </x:c>
      <x:c r="D9" s="53" t="str">
        <x:v>China, 2021</x:v>
      </x:c>
      <x:c r="E9" s="48" t="str">
        <x:v>https://yyj.moa.gov.cn/gzdt/202207/t20220721_6405222.htm</x:v>
      </x:c>
      <x:c r="F9" s="53" t="str">
        <x:v>Key statistics extracted from official HTML</x:v>
      </x:c>
      <x:c r="G9" s="53" t="str">
        <x:v>Official website terms apply; numerical facts extracted with attribution</x:v>
      </x:c>
      <x:c r="H9" s="53" t="str">
        <x:v>data/public/moa_national_fishery_statistics.csv</x:v>
      </x:c>
      <x:c r="I9" s="48" t="str">
        <x:v>2026-07-23</x:v>
      </x:c>
      <x:c r="J9" s="53" t="str">
        <x:v>2017 is an attachment-only legacy DOC and 2018 was not available as an accessible official HTML page; neither is silently interpolated.</x:v>
      </x:c>
    </x:row>
    <x:row r="10" ht="46" hidden="0" customHeight="1">
      <x:c r="A10" s="48" t="str">
        <x:v>moa_communique_2022</x:v>
      </x:c>
      <x:c r="B10" s="48" t="str">
        <x:v>Ministry of Agriculture and Rural Affairs of the PRC</x:v>
      </x:c>
      <x:c r="C10" s="53" t="str">
        <x:v>2022 national fishery economic statistics communique</x:v>
      </x:c>
      <x:c r="D10" s="53" t="str">
        <x:v>China, 2022</x:v>
      </x:c>
      <x:c r="E10" s="48" t="str">
        <x:v>https://yyj.moa.gov.cn/yqxx/202306/t20230628_6431131.htm</x:v>
      </x:c>
      <x:c r="F10" s="53" t="str">
        <x:v>Key statistics extracted from official HTML</x:v>
      </x:c>
      <x:c r="G10" s="53" t="str">
        <x:v>Official website terms apply; numerical facts extracted with attribution</x:v>
      </x:c>
      <x:c r="H10" s="53" t="str">
        <x:v>data/public/moa_national_fishery_statistics.csv</x:v>
      </x:c>
      <x:c r="I10" s="48" t="str">
        <x:v>2026-07-23</x:v>
      </x:c>
      <x:c r="J10" s="53" t="str">
        <x:v>2017 is an attachment-only legacy DOC and 2018 was not available as an accessible official HTML page; neither is silently interpolated.</x:v>
      </x:c>
    </x:row>
    <x:row r="11" ht="46" hidden="0" customHeight="1">
      <x:c r="A11" s="48" t="str">
        <x:v>moa_communique_2023</x:v>
      </x:c>
      <x:c r="B11" s="48" t="str">
        <x:v>Ministry of Agriculture and Rural Affairs of the PRC</x:v>
      </x:c>
      <x:c r="C11" s="53" t="str">
        <x:v>2023 national fishery economic statistics communique</x:v>
      </x:c>
      <x:c r="D11" s="53" t="str">
        <x:v>China, 2023</x:v>
      </x:c>
      <x:c r="E11" s="48" t="str">
        <x:v>https://yyj.moa.gov.cn/gzdt/202407/t20240705_6458486.htm</x:v>
      </x:c>
      <x:c r="F11" s="53" t="str">
        <x:v>Key statistics extracted from official HTML</x:v>
      </x:c>
      <x:c r="G11" s="53" t="str">
        <x:v>Official website terms apply; numerical facts extracted with attribution</x:v>
      </x:c>
      <x:c r="H11" s="53" t="str">
        <x:v>data/public/moa_national_fishery_statistics.csv</x:v>
      </x:c>
      <x:c r="I11" s="48" t="str">
        <x:v>2026-07-23</x:v>
      </x:c>
      <x:c r="J11" s="53" t="str">
        <x:v>2017 is an attachment-only legacy DOC and 2018 was not available as an accessible official HTML page; neither is silently interpolated.</x:v>
      </x:c>
    </x:row>
    <x:row r="12" ht="46" hidden="0" customHeight="1">
      <x:c r="A12" s="48" t="str">
        <x:v>moa_communique_2024</x:v>
      </x:c>
      <x:c r="B12" s="48" t="str">
        <x:v>Ministry of Agriculture and Rural Affairs of the PRC</x:v>
      </x:c>
      <x:c r="C12" s="53" t="str">
        <x:v>2024 national fishery economic statistics communique</x:v>
      </x:c>
      <x:c r="D12" s="53" t="str">
        <x:v>China, 2024</x:v>
      </x:c>
      <x:c r="E12" s="48" t="str">
        <x:v>https://yyj.moa.gov.cn/gzdt/202507/t20250707_6475475.htm</x:v>
      </x:c>
      <x:c r="F12" s="53" t="str">
        <x:v>Key statistics extracted from official HTML</x:v>
      </x:c>
      <x:c r="G12" s="53" t="str">
        <x:v>Official website terms apply; numerical facts extracted with attribution</x:v>
      </x:c>
      <x:c r="H12" s="53" t="str">
        <x:v>data/public/moa_national_fishery_statistics.csv</x:v>
      </x:c>
      <x:c r="I12" s="48" t="str">
        <x:v>2026-07-23</x:v>
      </x:c>
      <x:c r="J12" s="53" t="str">
        <x:v>2017 is an attachment-only legacy DOC and 2018 was not available as an accessible official HTML page; neither is silently interpolated.</x:v>
      </x:c>
    </x:row>
    <x:row r="13" ht="46" hidden="0" customHeight="1">
      <x:c r="A13" s="48" t="str">
        <x:v>moa_2024_detailed</x:v>
      </x:c>
      <x:c r="B13" s="48" t="str">
        <x:v>Ministry of Agriculture and Rural Affairs of the PRC</x:v>
      </x:c>
      <x:c r="C13" s="53" t="str">
        <x:v>2024 national fishery economic statistics communique, detailed extraction</x:v>
      </x:c>
      <x:c r="D13" s="53" t="str">
        <x:v>China, 2024; economy, production, species, area, fleet, population, processing, trade, disasters</x:v>
      </x:c>
      <x:c r="E13" s="48" t="str">
        <x:v>https://yyj.moa.gov.cn/gzdt/202507/t20250707_6475475.htm</x:v>
      </x:c>
      <x:c r="F13" s="53" t="str">
        <x:v>Detailed statistics extracted and normalized from official HTML</x:v>
      </x:c>
      <x:c r="G13" s="53" t="str">
        <x:v>Official website terms apply; numerical facts extracted with attribution</x:v>
      </x:c>
      <x:c r="H13" s="53" t="str">
        <x:v>data/public/moa_2024_detailed_fishery_statistics.csv</x:v>
      </x:c>
      <x:c r="I13" s="48" t="str">
        <x:v>2026-07-23</x:v>
      </x:c>
      <x:c r="J13" s="53" t="str">
        <x:v>经过处理的数据（公开来源）; reported values and units are retained beside normalized values.</x:v>
      </x:c>
    </x:row>
    <x:row r="14" ht="46" hidden="0" customHeight="1">
      <x:c r="A14" s="48" t="str">
        <x:v>moa_environment_2024</x:v>
      </x:c>
      <x:c r="B14" s="48" t="str">
        <x:v>Ministry of Agriculture and Rural Affairs / Ministry of Ecology and Environment</x:v>
      </x:c>
      <x:c r="C14" s="53" t="str">
        <x:v>China fishery ecological environment status communique 2024 summary</x:v>
      </x:c>
      <x:c r="D14" s="53" t="str">
        <x:v>China, 2024; monitoring network and selected exceedance-area changes</x:v>
      </x:c>
      <x:c r="E14" s="48" t="str">
        <x:v>https://cjyzbgs.moa.gov.cn/gzdt/202509/t20250918_6477465.htm</x:v>
      </x:c>
      <x:c r="F14" s="53" t="str">
        <x:v>Statistics extracted and normalized from official HTML summary</x:v>
      </x:c>
      <x:c r="G14" s="53" t="str">
        <x:v>Official website terms apply; numerical facts extracted with attribution</x:v>
      </x:c>
      <x:c r="H14" s="53" t="str">
        <x:v>data/public/moa_fishery_environment_2024.csv</x:v>
      </x:c>
      <x:c r="I14" s="48" t="str">
        <x:v>2026-07-23</x:v>
      </x:c>
      <x:c r="J14" s="53" t="str">
        <x:v>经过处理的数据（公开来源）; decline magnitudes are not absolute concentration levels.</x:v>
      </x:c>
    </x:row>
    <x:row r="15" ht="46" hidden="0" customHeight="1">
      <x:c r="A15" s="48" t="str">
        <x:v>nbs_2025_aquatic_products</x:v>
      </x:c>
      <x:c r="B15" s="48" t="str">
        <x:v>National Bureau of Statistics of China</x:v>
      </x:c>
      <x:c r="C15" s="53" t="str">
        <x:v>2025 national economic and social development statistical communique</x:v>
      </x:c>
      <x:c r="D15" s="53" t="str">
        <x:v>China, 2025; total, aquaculture and capture production</x:v>
      </x:c>
      <x:c r="E15" s="48" t="str">
        <x:v>https://www.stats.gov.cn/sj/zxfb/202602/t20260228_1962662.html</x:v>
      </x:c>
      <x:c r="F15" s="53" t="str">
        <x:v>Statistics extracted and normalized from official HTML</x:v>
      </x:c>
      <x:c r="G15" s="53" t="str">
        <x:v>National Bureau of Statistics website terms apply</x:v>
      </x:c>
      <x:c r="H15" s="53" t="str">
        <x:v>data/public/official_latest_aquatic_products_2025.csv</x:v>
      </x:c>
      <x:c r="I15" s="48" t="str">
        <x:v>2026-07-23</x:v>
      </x:c>
      <x:c r="J15" s="53" t="str">
        <x:v>经过处理的数据（公开来源）; national rows use production-method categories.</x:v>
      </x:c>
    </x:row>
    <x:row r="16" ht="46" hidden="0" customHeight="1">
      <x:c r="A16" s="48" t="str">
        <x:v>zhejiang_2025_aquatic_products</x:v>
      </x:c>
      <x:c r="B16" s="48" t="str">
        <x:v>Zhejiang Provincial Bureau of Statistics / NBS Zhejiang Survey Office</x:v>
      </x:c>
      <x:c r="C16" s="53" t="str">
        <x:v>2025 Zhejiang economic and social development statistical communique</x:v>
      </x:c>
      <x:c r="D16" s="53" t="str">
        <x:v>Zhejiang, 2025; total, marine and freshwater production</x:v>
      </x:c>
      <x:c r="E16" s="48" t="str">
        <x:v>https://zjzd.stats.gov.cn/zwgk/zfxxgkml/tjxx/tjgb/art/2026/art_48c3c7315981425f9c25b53eab4d65d0.html</x:v>
      </x:c>
      <x:c r="F16" s="53" t="str">
        <x:v>Statistics extracted and normalized from official HTML</x:v>
      </x:c>
      <x:c r="G16" s="53" t="str">
        <x:v>Zhejiang statistics website terms apply</x:v>
      </x:c>
      <x:c r="H16" s="53" t="str">
        <x:v>data/public/official_latest_aquatic_products_2025.csv</x:v>
      </x:c>
      <x:c r="I16" s="48" t="str">
        <x:v>2026-07-23</x:v>
      </x:c>
      <x:c r="J16" s="53" t="str">
        <x:v>经过处理的数据（公开来源）; Zhejiang rows use water-body categories.</x:v>
      </x:c>
    </x:row>
    <x:row r="17" ht="46" hidden="0" customHeight="1">
      <x:c r="A17" s="48" t="str">
        <x:v>nbs_a0407</x:v>
      </x:c>
      <x:c r="B17" s="48" t="str">
        <x:v>National Bureau of Statistics of China</x:v>
      </x:c>
      <x:c r="C17" s="53" t="str">
        <x:v>Provincial annual aquatic-product production indicator A0407</x:v>
      </x:c>
      <x:c r="D17" s="53" t="str">
        <x:v>31 provincial-level regions; coverage depends on sub-indicator</x:v>
      </x:c>
      <x:c r="E17" s="48" t="str">
        <x:v>https://data.stats.gov.cn/easyquery.htm?cn=E0103&amp;zb=A0407</x:v>
      </x:c>
      <x:c r="F17" s="53" t="str">
        <x:v>Link and indicator code documented; automated endpoint returned HTTP 403 during retrieval</x:v>
      </x:c>
      <x:c r="G17" s="53" t="str">
        <x:v>National Bureau of Statistics website terms apply</x:v>
      </x:c>
      <x:c r="H17" s="53" t="str"/>
      <x:c r="I17" s="48" t="str">
        <x:v>2026-07-23</x:v>
      </x:c>
      <x:c r="J17" s="53" t="str">
        <x:v>Not redistributed because a reliable machine-readable download could not be obtained from the official endpoint.</x:v>
      </x:c>
    </x:row>
    <x:row r="18" ht="46" hidden="0" customHeight="1">
      <x:c r="A18" s="48" t="str">
        <x:v>china_fisheries_statistical_yearbook</x:v>
      </x:c>
      <x:c r="B18" s="48" t="str">
        <x:v>China Agriculture Press / Ministry statistical system</x:v>
      </x:c>
      <x:c r="C18" s="53" t="str">
        <x:v>China Fisheries Statistical Yearbook</x:v>
      </x:c>
      <x:c r="D18" s="53" t="str">
        <x:v>Province-level detailed fishery statistics</x:v>
      </x:c>
      <x:c r="E18" s="48" t="str">
        <x:v>https://www.stats.gov.cn/fw/bmdcxmsp/bmzd/202302/t20230215_1907093.html</x:v>
      </x:c>
      <x:c r="F18" s="53" t="str">
        <x:v>Commercial/copyrighted yearbook; not copied</x:v>
      </x:c>
      <x:c r="G18" s="53" t="str">
        <x:v>Copyrighted publication</x:v>
      </x:c>
      <x:c r="H18" s="53" t="str"/>
      <x:c r="I18" s="48" t="str">
        <x:v>2026-07-23</x:v>
      </x:c>
      <x:c r="J18" s="53" t="str">
        <x:v>The official statistical-system page explains that annual results are published through the yearbook.</x:v>
      </x:c>
    </x:row>
    <x:row r="19" ht="46" hidden="0" customHeight="1">
      <x:c r="A19" s="48" t="str">
        <x:v>nbs_yearbook_2025_table_02_05</x:v>
      </x:c>
      <x:c r="B19" s="48" t="str">
        <x:v>National Bureau of Statistics of China</x:v>
      </x:c>
      <x:c r="C19" s="53" t="str">
        <x:v>Population at Year-end by Region</x:v>
      </x:c>
      <x:c r="D19" s="53" t="str">
        <x:v>31 province-level regions, 2024</x:v>
      </x:c>
      <x:c r="E19" s="48" t="str">
        <x:v>https://www.stats.gov.cn/sj/ndsj/2025/html/E02-05.jpg</x:v>
      </x:c>
      <x:c r="F19" s="53" t="str">
        <x:v>Official yearbook table downloaded and manually transcribed</x:v>
      </x:c>
      <x:c r="G19" s="53" t="str">
        <x:v>Official website terms apply; numerical facts extracted with attribution</x:v>
      </x:c>
      <x:c r="H19" s="53" t="str">
        <x:v>data/public/nbs_2024_31_province_public_panel.csv</x:v>
      </x:c>
      <x:c r="I19" s="48" t="str">
        <x:v>2026-09-11</x:v>
      </x:c>
      <x:c r="J19" s="53" t="str">
        <x:v>Social/demographic proxy only; the national total includes military personnel excluded from province rows.</x:v>
      </x:c>
    </x:row>
    <x:row r="20" ht="46" hidden="0" customHeight="1">
      <x:c r="A20" s="48" t="str">
        <x:v>nbs_yearbook_2025_table_06_18</x:v>
      </x:c>
      <x:c r="B20" s="48" t="str">
        <x:v>National Bureau of Statistics of China</x:v>
      </x:c>
      <x:c r="C20" s="53" t="str">
        <x:v>Per Capita Disposable Income of Households by Region</x:v>
      </x:c>
      <x:c r="D20" s="53" t="str">
        <x:v>31 province-level regions, 2024</x:v>
      </x:c>
      <x:c r="E20" s="48" t="str">
        <x:v>https://www.stats.gov.cn/sj/ndsj/2025/html/E06-18.jpg</x:v>
      </x:c>
      <x:c r="F20" s="53" t="str">
        <x:v>Official yearbook table downloaded and manually transcribed</x:v>
      </x:c>
      <x:c r="G20" s="53" t="str">
        <x:v>Official website terms apply; numerical facts extracted with attribution</x:v>
      </x:c>
      <x:c r="H20" s="53" t="str">
        <x:v>data/public/nbs_2024_31_province_public_panel.csv</x:v>
      </x:c>
      <x:c r="I20" s="48" t="str">
        <x:v>2026-09-11</x:v>
      </x:c>
      <x:c r="J20" s="53" t="str">
        <x:v>Economic proxy; not a fishery-specific wage or coefficient series.</x:v>
      </x:c>
    </x:row>
    <x:row r="21" ht="46" hidden="0" customHeight="1">
      <x:c r="A21" s="48" t="str">
        <x:v>nbs_yearbook_2025_table_08_10</x:v>
      </x:c>
      <x:c r="B21" s="48" t="str">
        <x:v>National Bureau of Statistics of China</x:v>
      </x:c>
      <x:c r="C21" s="53" t="str">
        <x:v>Main Pollutant Contents Discharged in Wastewater by Region</x:v>
      </x:c>
      <x:c r="D21" s="53" t="str">
        <x:v>31 province-level regions, 2024</x:v>
      </x:c>
      <x:c r="E21" s="48" t="str">
        <x:v>https://www.stats.gov.cn/sj/ndsj/2025/html/E08-10.jpg</x:v>
      </x:c>
      <x:c r="F21" s="53" t="str">
        <x:v>Official yearbook table downloaded and manually transcribed</x:v>
      </x:c>
      <x:c r="G21" s="53" t="str">
        <x:v>Official website terms apply; numerical facts extracted with attribution</x:v>
      </x:c>
      <x:c r="H21" s="53" t="str">
        <x:v>data/public/nbs_2024_31_province_public_panel.csv</x:v>
      </x:c>
      <x:c r="I21" s="48" t="str">
        <x:v>2026-09-11</x:v>
      </x:c>
      <x:c r="J21" s="53" t="str">
        <x:v>Preliminary general wastewater data; not a fishery-water-quality measurement.</x:v>
      </x:c>
    </x:row>
    <x:row r="22" ht="46" hidden="0" customHeight="1">
      <x:c r="A22" s="48" t="str">
        <x:v>nbs_yearbook_2025_table_12_15</x:v>
      </x:c>
      <x:c r="B22" s="48" t="str">
        <x:v>National Bureau of Statistics of China</x:v>
      </x:c>
      <x:c r="C22" s="53" t="str">
        <x:v>Output of Aquatic Products</x:v>
      </x:c>
      <x:c r="D22" s="53" t="str">
        <x:v>31 province-level regions and national total, 2024</x:v>
      </x:c>
      <x:c r="E22" s="48" t="str">
        <x:v>https://www.stats.gov.cn/sj/ndsj/2025/html/E12-15.jpg</x:v>
      </x:c>
      <x:c r="F22" s="53" t="str">
        <x:v>Official yearbook table downloaded and manually transcribed</x:v>
      </x:c>
      <x:c r="G22" s="53" t="str">
        <x:v>Official website terms apply; numerical facts extracted with attribution</x:v>
      </x:c>
      <x:c r="H22" s="53" t="str">
        <x:v>data/public/nbs_2024_31_province_public_panel.csv</x:v>
      </x:c>
      <x:c r="I22" s="48" t="str">
        <x:v>2026-09-11</x:v>
      </x:c>
      <x:c r="J22" s="53" t="str">
        <x:v>Primary public production backbone with marine/freshwater and capture/aquaculture components.</x:v>
      </x:c>
    </x:row>
    <x:row r="23" ht="46" hidden="0" customHeight="1">
      <x:c r="A23" s="48" t="str">
        <x:v>nbs_yearbook_2025_table_16_13</x:v>
      </x:c>
      <x:c r="B23" s="48" t="str">
        <x:v>National Bureau of Statistics of China</x:v>
      </x:c>
      <x:c r="C23" s="53" t="str">
        <x:v>Freight Traffic by Region</x:v>
      </x:c>
      <x:c r="D23" s="53" t="str">
        <x:v>31 province-level regions, 2024</x:v>
      </x:c>
      <x:c r="E23" s="48" t="str">
        <x:v>https://www.stats.gov.cn/sj/ndsj/2025/html/E16-13.jpg</x:v>
      </x:c>
      <x:c r="F23" s="53" t="str">
        <x:v>Official yearbook table downloaded and manually transcribed</x:v>
      </x:c>
      <x:c r="G23" s="53" t="str">
        <x:v>Official website terms apply; numerical facts extracted with attribution</x:v>
      </x:c>
      <x:c r="H23" s="53" t="str">
        <x:v>data/public/nbs_2024_31_province_public_panel.csv</x:v>
      </x:c>
      <x:c r="I23" s="48" t="str">
        <x:v>2026-09-11</x:v>
      </x:c>
      <x:c r="J23" s="53" t="str">
        <x:v>Economy-wide logistics proxy; national total contains a separately printed not-classified amount.</x:v>
      </x:c>
    </x:row>
    <x:row r="24" ht="46" hidden="0" customHeight="1">
      <x:c r="A24" s="48" t="str">
        <x:v>nbs_yearbook_2025_table_16_39</x:v>
      </x:c>
      <x:c r="B24" s="48" t="str">
        <x:v>National Bureau of Statistics of China</x:v>
      </x:c>
      <x:c r="C24" s="53" t="str">
        <x:v>Informatization and E-Commerce of Enterprises by Region</x:v>
      </x:c>
      <x:c r="D24" s="53" t="str">
        <x:v>31 province-level regions, 2024</x:v>
      </x:c>
      <x:c r="E24" s="48" t="str">
        <x:v>https://www.stats.gov.cn/sj/ndsj/2025/html/E16-39.jpg</x:v>
      </x:c>
      <x:c r="F24" s="53" t="str">
        <x:v>Official yearbook table downloaded and manually transcribed</x:v>
      </x:c>
      <x:c r="G24" s="53" t="str">
        <x:v>Official website terms apply; numerical facts extracted with attribution</x:v>
      </x:c>
      <x:c r="H24" s="53" t="str">
        <x:v>data/public/nbs_2024_31_province_public_panel.csv</x:v>
      </x:c>
      <x:c r="I24" s="48" t="str">
        <x:v>2026-09-11</x:v>
      </x:c>
      <x:c r="J24" s="53" t="str">
        <x:v>External digital/marketing proxy; not the paper's unreleased fishery EWM index.</x:v>
      </x:c>
    </x:row>
  </x:sheetData>
  <x:pageMargins left="0.7" right="0.7" top="0.75" bottom="0.75" header="0.3" footer="0.3"/>
  <x:tableParts count="1">
    <x:tablePart xmlns:r="http://schemas.openxmlformats.org/officeDocument/2006/relationships" r:id="Rb7a1613cde8b4c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30" customHeight="1">
      <x:c r="A1" s="56" t="str">
        <x:v>Workbook integrity and disclosure checks</x:v>
      </x:c>
      <x:c r="B1" s="56"/>
      <x:c r="C1" s="56"/>
      <x:c r="D1" s="56"/>
    </x:row>
    <x:row r="3">
      <x:c r="A3" s="36" t="str">
        <x:v>Check</x:v>
      </x:c>
      <x:c r="B3" s="36" t="str">
        <x:v>Expected</x:v>
      </x:c>
      <x:c r="C3" s="36" t="str">
        <x:v>Actual</x:v>
      </x:c>
      <x:c r="D3" s="36" t="str">
        <x:v>Result</x:v>
      </x:c>
    </x:row>
    <x:row r="4">
      <x:c r="A4" s="38" t="str">
        <x:v>Official public rows</x:v>
      </x:c>
      <x:c r="B4" s="38" t="n">
        <x:v>31</x:v>
      </x:c>
      <x:c r="C4" s="38" t="n">
        <x:f>COUNTA('Official 2024 Raw'!$A$2:$A$32)</x:f>
        <x:v>31</x:v>
      </x:c>
      <x:c r="D4" s="38" t="str">
        <x:f>IF(ABS(B4-C4)&lt;0.0000001,"PASS","FAIL")</x:f>
        <x:v>PASS</x:v>
      </x:c>
    </x:row>
    <x:row r="5">
      <x:c r="A5" s="38" t="str">
        <x:v>Province rows</x:v>
      </x:c>
      <x:c r="B5" s="38" t="n">
        <x:v>31</x:v>
      </x:c>
      <x:c r="C5" s="38" t="n">
        <x:f>COUNTA('Province Inputs'!$A$2:$A$32)</x:f>
        <x:v>31</x:v>
      </x:c>
      <x:c r="D5" s="38" t="str">
        <x:f>IF(ABS(B5-C5)&lt;0.0000001,"PASS","FAIL")</x:f>
        <x:v>PASS</x:v>
      </x:c>
    </x:row>
    <x:row r="6">
      <x:c r="A6" s="38" t="str">
        <x:v>Decision/coefficient rows</x:v>
      </x:c>
      <x:c r="B6" s="38" t="n">
        <x:v>248</x:v>
      </x:c>
      <x:c r="C6" s="38" t="n">
        <x:f>COUNTA('Coefficient Matrix'!$A$2:$A$249)</x:f>
        <x:v>248</x:v>
      </x:c>
      <x:c r="D6" s="38" t="str">
        <x:f>IF(ABS(B6-C6)&lt;0.0000001,"PASS","FAIL")</x:f>
        <x:v>PASS</x:v>
      </x:c>
    </x:row>
    <x:row r="7">
      <x:c r="A7" s="38" t="str">
        <x:v>Sector-mode rows</x:v>
      </x:c>
      <x:c r="B7" s="38" t="n">
        <x:v>8</x:v>
      </x:c>
      <x:c r="C7" s="38" t="n">
        <x:f>COUNTA('Sector-Mode Coeff'!$A$2:$A$9)</x:f>
        <x:v>8</x:v>
      </x:c>
      <x:c r="D7" s="38" t="str">
        <x:f>IF(ABS(B7-C7)&lt;0.0000001,"PASS","FAIL")</x:f>
        <x:v>PASS</x:v>
      </x:c>
    </x:row>
    <x:row r="8">
      <x:c r="A8" s="38" t="str">
        <x:v>Region shares sum</x:v>
      </x:c>
      <x:c r="B8" s="38" t="n">
        <x:v>1</x:v>
      </x:c>
      <x:c r="C8" s="57" t="n">
        <x:f>SUM('Province Inputs'!$T$2:$T$32)</x:f>
        <x:v>0.9999999999999999</x:v>
      </x:c>
      <x:c r="D8" s="38" t="str">
        <x:f>IF(ABS(B8-C8)&lt;0.0000001,"PASS","FAIL")</x:f>
        <x:v>PASS</x:v>
      </x:c>
    </x:row>
    <x:row r="9">
      <x:c r="A9" s="38" t="str">
        <x:v>All matrix rows labelled non-original</x:v>
      </x:c>
      <x:c r="B9" s="38" t="n">
        <x:v>248</x:v>
      </x:c>
      <x:c r="C9" s="38" t="n">
        <x:f>COUNTIF('Coefficient Matrix'!$AH$2:$AH$249,"calibrated reconstruction; not historical author input")</x:f>
        <x:v>248</x:v>
      </x:c>
      <x:c r="D9" s="38" t="str">
        <x:f>IF(ABS(B9-C9)&lt;0.0000001,"PASS","FAIL")</x:f>
        <x:v>PASS</x:v>
      </x:c>
    </x:row>
    <x:row r="10">
      <x:c r="A10" s="38" t="str">
        <x:v>Public-data reconciliation checks passed</x:v>
      </x:c>
      <x:c r="B10" s="38" t="n">
        <x:v>14</x:v>
      </x:c>
      <x:c r="C10" s="38" t="n">
        <x:f>COUNTIF('Public Data QC'!$F$2:$F$15,"PASS")</x:f>
        <x:v>14</x:v>
      </x:c>
      <x:c r="D10" s="38" t="str">
        <x:f>IF(ABS(B10-C10)&lt;0.0000001,"PASS","FAIL")</x:f>
        <x:v>PASS</x:v>
      </x:c>
    </x:row>
    <x:row r="11">
      <x:c r="A11" s="38" t="str">
        <x:v>Unavailable items allowed to be described as original</x:v>
      </x:c>
      <x:c r="B11" s="38" t="n">
        <x:v>0</x:v>
      </x:c>
      <x:c r="C11" s="38" t="n">
        <x:f>COUNTIF('Availability'!$F$2:$F$200,"yes")</x:f>
        <x:v>0</x:v>
      </x:c>
      <x:c r="D11" s="38" t="str">
        <x:f>IF(ABS(B11-C11)&lt;0.0000001,"PASS","FAIL")</x:f>
        <x:v>PASS</x:v>
      </x:c>
    </x:row>
  </x:sheetData>
  <x:mergeCells>
    <x:mergeCell ref="A1:D1"/>
  </x:mergeCells>
  <x:conditionalFormatting sqref="D4:D1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