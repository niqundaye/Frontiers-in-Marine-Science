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17d1cc18c34e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f6666a7b42e4567"/>
    <x:sheet xmlns:r="http://schemas.openxmlformats.org/officeDocument/2006/relationships" name="Province Inputs" sheetId="2" r:id="Rafa5c5e4c14649de"/>
    <x:sheet xmlns:r="http://schemas.openxmlformats.org/officeDocument/2006/relationships" name="Coefficient Matrix" sheetId="3" r:id="Rc5252eeb661e47d0"/>
    <x:sheet xmlns:r="http://schemas.openxmlformats.org/officeDocument/2006/relationships" name="Sector-Mode Coeff" sheetId="4" r:id="R71d279eb055c43cc"/>
    <x:sheet xmlns:r="http://schemas.openxmlformats.org/officeDocument/2006/relationships" name="National Constraints" sheetId="5" r:id="R3d32d604b9c14fa5"/>
    <x:sheet xmlns:r="http://schemas.openxmlformats.org/officeDocument/2006/relationships" name="Variable Dictionary" sheetId="6" r:id="Rc729cbc0eca44ae9"/>
    <x:sheet xmlns:r="http://schemas.openxmlformats.org/officeDocument/2006/relationships" name="Availability" sheetId="7" r:id="Rcf5d6feee4794b43"/>
    <x:sheet xmlns:r="http://schemas.openxmlformats.org/officeDocument/2006/relationships" name="Source Map" sheetId="8" r:id="R98bf58e98ad344ce"/>
    <x:sheet xmlns:r="http://schemas.openxmlformats.org/officeDocument/2006/relationships" name="QC" sheetId="9" r:id="Re247fe284dd244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"/>
    <x:numFmt numFmtId="201" formatCode="#,##0"/>
    <x:numFmt numFmtId="202" formatCode="0.000000"/>
  </x:numFmts>
  <x:fonts count="14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7F6000"/>
      <x:name val="Aptos"/>
    </x:font>
    <x:font>
      <x:b/>
      <x:sz val="11"/>
      <x:color rgb="FFFFFFFF"/>
      <x:name val="Carlito"/>
    </x:font>
    <x:font>
      <x:b/>
      <x:sz val="11"/>
      <x:name val="Carlito"/>
    </x:font>
    <x:font>
      <x:i/>
      <x:sz val="11"/>
      <x:color rgb="FF44546A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name val="Aptos"/>
    </x:font>
    <x:font>
      <x:i/>
      <x:sz val="11"/>
      <x:color rgb="FF44546A"/>
      <x:name val="Aptos"/>
    </x:font>
    <x:font>
      <x:sz val="10"/>
      <x:color rgb="FF202124"/>
      <x:name val="Aptos"/>
    </x:font>
    <x:font>
      <x:b/>
      <x:sz val="10"/>
      <x:color rgb="FFFFFFFF"/>
      <x:name val="Aptos"/>
    </x:font>
    <x:font>
      <x:b/>
      <x:sz val="16"/>
      <x:color rgb="FFFFFFFF"/>
      <x:name val="Aptos Display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F3F6F9"/>
      </x:patternFill>
    </x:fill>
  </x:fills>
  <x:borders count="10">
    <x:border/>
    <x:border>
      <x:left style="medium">
        <x:color rgb="FFBF9000"/>
      </x:left>
      <x:top style="medium">
        <x:color rgb="FFBF9000"/>
      </x:top>
    </x:border>
    <x:border>
      <x:top style="medium">
        <x:color rgb="FFBF9000"/>
      </x:top>
    </x:border>
    <x:border>
      <x:right style="medium">
        <x:color rgb="FFBF9000"/>
      </x:right>
      <x:top style="medium">
        <x:color rgb="FFBF9000"/>
      </x:top>
    </x:border>
    <x:border>
      <x:left style="medium">
        <x:color rgb="FFBF9000"/>
      </x:left>
    </x:border>
    <x:border>
      <x:right style="medium">
        <x:color rgb="FFBF9000"/>
      </x:right>
    </x:border>
    <x:border>
      <x:left style="medium">
        <x:color rgb="FFBF9000"/>
      </x:left>
      <x:bottom style="medium">
        <x:color rgb="FFBF9000"/>
      </x:bottom>
    </x:border>
    <x:border>
      <x:bottom style="medium">
        <x:color rgb="FFBF9000"/>
      </x:bottom>
    </x:border>
    <x:border>
      <x:right style="medium">
        <x:color rgb="FFBF9000"/>
      </x:right>
      <x:bottom style="medium">
        <x:color rgb="FFBF9000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8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8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2" fillId="3" borderId="4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2" fillId="3" borderId="7" xfId="0" applyNumberFormat="1" applyFont="1" applyFill="1" applyBorder="1" applyAlignment="1">
      <x:alignment vertical="center" wrapText="1"/>
    </x:xf>
    <x:xf numFmtId="0" fontId="2" fillId="3" borderId="8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9" xfId="0" applyNumberFormat="1" applyFont="1" applyFill="1" applyBorder="1"/>
    <x:xf numFmtId="0" fontId="0" fillId="0" borderId="9" xfId="0" applyNumberFormat="1" applyFont="1" applyFill="1" applyBorder="1"/>
    <x:xf numFmtId="0" fontId="4" fillId="0" borderId="9" xfId="0" applyNumberFormat="1" applyFont="1" applyFill="1" applyBorder="1"/>
    <x:xf numFmtId="0" fontId="3" fillId="2" borderId="9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2" borderId="9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wrapText="1"/>
    </x:xf>
    <x:xf numFmtId="0" fontId="7" fillId="0" borderId="9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2" borderId="0" xfId="0" applyNumberFormat="1" applyFont="1" applyFill="1" applyBorder="1"/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200" fontId="11" fillId="0" borderId="0" xfId="0" applyNumberFormat="1" applyFont="1" applyFill="1" applyBorder="1"/>
    <x:xf numFmtId="201" fontId="11" fillId="0" borderId="0" xfId="0" applyNumberFormat="1" applyFont="1" applyFill="1" applyBorder="1"/>
    <x:xf numFmtId="0" fontId="13" fillId="2" borderId="0" xfId="0" applyNumberFormat="1" applyFont="1" applyFill="1" applyBorder="1"/>
    <x:xf numFmtId="202" fontId="0" fillId="0" borderId="9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480216a2614c83" /><Relationship Type="http://schemas.openxmlformats.org/officeDocument/2006/relationships/theme" Target="/xl/theme/theme1.xml" Id="R300a5f3431b24e2a" /><Relationship Type="http://schemas.openxmlformats.org/officeDocument/2006/relationships/sharedStrings" Target="/xl/sharedStrings.xml" Id="R04a97c13730542c0" /><Relationship Type="http://schemas.openxmlformats.org/officeDocument/2006/relationships/worksheet" Target="/xl/worksheets/sheet1.xml" Id="R8f6666a7b42e4567" /><Relationship Type="http://schemas.openxmlformats.org/officeDocument/2006/relationships/worksheet" Target="/xl/worksheets/sheet2.xml" Id="Rafa5c5e4c14649de" /><Relationship Type="http://schemas.openxmlformats.org/officeDocument/2006/relationships/worksheet" Target="/xl/worksheets/sheet3.xml" Id="Rc5252eeb661e47d0" /><Relationship Type="http://schemas.openxmlformats.org/officeDocument/2006/relationships/worksheet" Target="/xl/worksheets/sheet4.xml" Id="R71d279eb055c43cc" /><Relationship Type="http://schemas.openxmlformats.org/officeDocument/2006/relationships/worksheet" Target="/xl/worksheets/sheet5.xml" Id="R3d32d604b9c14fa5" /><Relationship Type="http://schemas.openxmlformats.org/officeDocument/2006/relationships/worksheet" Target="/xl/worksheets/sheet6.xml" Id="Rc729cbc0eca44ae9" /><Relationship Type="http://schemas.openxmlformats.org/officeDocument/2006/relationships/worksheet" Target="/xl/worksheets/sheet7.xml" Id="Rcf5d6feee4794b43" /><Relationship Type="http://schemas.openxmlformats.org/officeDocument/2006/relationships/worksheet" Target="/xl/worksheets/sheet8.xml" Id="R98bf58e98ad344ce" /><Relationship Type="http://schemas.openxmlformats.org/officeDocument/2006/relationships/worksheet" Target="/xl/worksheets/sheet9.xml" Id="Re247fe284dd244c8" /></Relationships>
</file>

<file path=xl/tables/table1.xml><?xml version="1.0" encoding="utf-8"?>
<x:table xmlns:x="http://schemas.openxmlformats.org/spreadsheetml/2006/main" id="1" name="ProvinceInputsTable" displayName="ProvinceInputsTable" ref="A1:K32" headerRowCount="1" totalsRowCount="0" totalsRowShown="0">
  <x:tableColumns count="11">
    <x:tableColumn id="1" name="region_id"/>
    <x:tableColumn id="2" name="province_code"/>
    <x:tableColumn id="3" name="province_en"/>
    <x:tableColumn id="4" name="province_zh"/>
    <x:tableColumn id="5" name="region_share_proxy"/>
    <x:tableColumn id="6" name="digital_index_proxy"/>
    <x:tableColumn id="7" name="workforce_proxy_people"/>
    <x:tableColumn id="8" name="cold_capacity_proxy_tonnes"/>
    <x:tableColumn id="9" name="power_capacity_proxy_kw"/>
    <x:tableColumn id="10" name="mapping_note"/>
    <x:tableColumn id="11" name="data_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efficientMatrixTable" displayName="CoefficientMatrixTable" ref="A1:W249" headerRowCount="1" totalsRowCount="0" totalsRowShown="0">
  <x:tableColumns count="23">
    <x:tableColumn id="1" name="variable_id"/>
    <x:tableColumn id="2" name="region_id"/>
    <x:tableColumn id="3" name="province_code"/>
    <x:tableColumn id="4" name="province_en"/>
    <x:tableColumn id="5" name="province_zh"/>
    <x:tableColumn id="6" name="sector_id"/>
    <x:tableColumn id="7" name="sector_en"/>
    <x:tableColumn id="8" name="sector_zh"/>
    <x:tableColumn id="9" name="mode_id"/>
    <x:tableColumn id="10" name="mode_en"/>
    <x:tableColumn id="11" name="mode_zh"/>
    <x:tableColumn id="12" name="upper_bound_proxy_tonnes"/>
    <x:tableColumn id="13" name="region_share_proxy"/>
    <x:tableColumn id="14" name="digital_index_proxy"/>
    <x:tableColumn id="15" name="workforce_proxy_people"/>
    <x:tableColumn id="16" name="cold_capacity_proxy_tonnes"/>
    <x:tableColumn id="17" name="power_capacity_proxy_kw"/>
    <x:tableColumn id="18" name="income_coefficient_proxy"/>
    <x:tableColumn id="19" name="marginal_value_coefficient_proxy"/>
    <x:tableColumn id="20" name="supply_chain_cost_coefficient_proxy"/>
    <x:tableColumn id="21" name="ecological_weight_proxy"/>
    <x:tableColumn id="22" name="fleet_power_coefficient_proxy"/>
    <x:tableColumn id="23" name="data_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ctorModeCoeffTable" displayName="SectorModeCoeffTable" ref="A1:L9" headerRowCount="1" totalsRowCount="0" totalsRowShown="0">
  <x:tableColumns count="12">
    <x:tableColumn id="1" name="sector_id"/>
    <x:tableColumn id="2" name="sector_en"/>
    <x:tableColumn id="3" name="sector_zh"/>
    <x:tableColumn id="4" name="mode_id"/>
    <x:tableColumn id="5" name="mode_en"/>
    <x:tableColumn id="6" name="mode_zh"/>
    <x:tableColumn id="7" name="income_coefficient_proxy"/>
    <x:tableColumn id="8" name="marginal_value_coefficient_proxy"/>
    <x:tableColumn id="9" name="supply_chain_cost_coefficient_proxy"/>
    <x:tableColumn id="10" name="ecological_weight_proxy"/>
    <x:tableColumn id="11" name="fleet_power_coefficient_proxy"/>
    <x:tableColumn id="12" name="data_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ationalConstraintsTable" displayName="NationalConstraintsTable" ref="A1:F11" headerRowCount="1" totalsRowCount="0" totalsRowShown="0">
  <x:tableColumns count="6">
    <x:tableColumn id="1" name="parameter"/>
    <x:tableColumn id="2" name="value"/>
    <x:tableColumn id="3" name="unit"/>
    <x:tableColumn id="4" name="role"/>
    <x:tableColumn id="5" name="source"/>
    <x:tableColumn id="6" name="data_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ariableDictionaryTable" displayName="VariableDictionaryTable" ref="A1:E12" headerRowCount="1" totalsRowCount="0" totalsRowShown="0">
  <x:tableColumns count="5">
    <x:tableColumn id="1" name="field"/>
    <x:tableColumn id="2" name="meaning"/>
    <x:tableColumn id="3" name="unit"/>
    <x:tableColumn id="4" name="original_available"/>
    <x:tableColumn id="5" name="construc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vailabilityTable" displayName="AvailabilityTable" ref="A1:F19" headerRowCount="1" totalsRowCount="0" totalsRowShown="0">
  <x:tableColumns count="6">
    <x:tableColumn id="1" name="request_item"/>
    <x:tableColumn id="2" name="expected_material_or_variable"/>
    <x:tableColumn id="3" name="status"/>
    <x:tableColumn id="4" name="reason"/>
    <x:tableColumn id="5" name="current_replacement"/>
    <x:tableColumn id="6" name="may_be_described_as_origina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MapTable" displayName="SourceMapTable" ref="A1:J18" headerRowCount="1" totalsRowCount="0" totalsRowShown="0">
  <x:tableColumns count="10">
    <x:tableColumn id="1" name="source_id"/>
    <x:tableColumn id="2" name="publisher"/>
    <x:tableColumn id="3" name="dataset"/>
    <x:tableColumn id="4" name="coverage"/>
    <x:tableColumn id="5" name="url"/>
    <x:tableColumn id="6" name="access"/>
    <x:tableColumn id="7" name="license_or_terms"/>
    <x:tableColumn id="8" name="repository_file"/>
    <x:tableColumn id="9" name="retrieved_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3d442a05a2d407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172c134cd540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5a984d6b68044c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cec5ce0936a419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2055ea5c26d419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a333054f6684f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c9f66a50965459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4" customHeight="1">
      <x:c r="A1" s="42" t="str">
        <x:v>31-Province Input Matrix: Evidence and Reconstruction Workbook</x:v>
      </x:c>
      <x:c r="B1" s="42"/>
      <x:c r="C1" s="42"/>
      <x:c r="D1" s="42"/>
      <x:c r="E1" s="42"/>
      <x:c r="F1" s="42"/>
    </x:row>
    <x:row r="2">
      <x:c r="A2" s="43"/>
      <x:c r="B2" s="43"/>
      <x:c r="C2" s="43"/>
      <x:c r="D2" s="43"/>
      <x:c r="E2" s="43"/>
      <x:c r="F2" s="43"/>
    </x:row>
    <x:row r="3">
      <x:c r="A3" s="23" t="str">
        <x:v>ESSENTIAL DISCLOSURE
This workbook is a calibrated, deterministic replacement constructed from the public surrogate model and retained article/public data. It is not the original 31-province workbook used for the reported results. The historical matrix, original row order, EWM inputs/weights, province TACs and original preprocessing files were not present in the retained archive.</x:v>
      </x:c>
      <x:c r="B3" s="24"/>
      <x:c r="C3" s="24"/>
      <x:c r="D3" s="24"/>
      <x:c r="E3" s="24"/>
      <x:c r="F3" s="25"/>
    </x:row>
    <x:row r="4">
      <x:c r="A4" s="26"/>
      <x:c r="B4" s="27"/>
      <x:c r="C4" s="27"/>
      <x:c r="D4" s="27"/>
      <x:c r="E4" s="27"/>
      <x:c r="F4" s="28"/>
    </x:row>
    <x:row r="5">
      <x:c r="A5" s="29"/>
      <x:c r="B5" s="30"/>
      <x:c r="C5" s="30"/>
      <x:c r="D5" s="30"/>
      <x:c r="E5" s="30"/>
      <x:c r="F5" s="31"/>
    </x:row>
    <x:row r="6">
      <x:c r="A6" s="43"/>
      <x:c r="B6" s="43"/>
      <x:c r="C6" s="43"/>
      <x:c r="D6" s="43"/>
      <x:c r="E6" s="43"/>
      <x:c r="F6" s="43"/>
    </x:row>
    <x:row r="7">
      <x:c r="A7" s="44" t="str">
        <x:v>Field</x:v>
      </x:c>
      <x:c r="B7" s="44" t="str">
        <x:v>Value</x:v>
      </x:c>
      <x:c r="C7" s="43"/>
      <x:c r="D7" s="43"/>
      <x:c r="E7" s="43"/>
      <x:c r="F7" s="43"/>
    </x:row>
    <x:row r="8">
      <x:c r="A8" s="45" t="str">
        <x:v>Prepared on</x:v>
      </x:c>
      <x:c r="B8" s="46" t="str">
        <x:v>2026-09-11</x:v>
      </x:c>
      <x:c r="C8" s="43"/>
      <x:c r="D8" s="43"/>
      <x:c r="E8" s="43"/>
      <x:c r="F8" s="43"/>
    </x:row>
    <x:row r="9">
      <x:c r="A9" s="45" t="str">
        <x:v>Paper DOI</x:v>
      </x:c>
      <x:c r="B9" s="46" t="str">
        <x:v>10.3389/fmars.2026.1809036</x:v>
      </x:c>
      <x:c r="C9" s="43"/>
      <x:c r="D9" s="43"/>
      <x:c r="E9" s="43"/>
      <x:c r="F9" s="43"/>
    </x:row>
    <x:row r="10">
      <x:c r="A10" s="45" t="str">
        <x:v>Data status</x:v>
      </x:c>
      <x:c r="B10" s="46" t="str">
        <x:v>Replacement evidence only; no historical original matrix or run log is represented as recovered.</x:v>
      </x:c>
      <x:c r="C10" s="43"/>
      <x:c r="D10" s="43"/>
      <x:c r="E10" s="43"/>
      <x:c r="F10" s="43"/>
    </x:row>
    <x:row r="11">
      <x:c r="A11" s="45" t="str">
        <x:v>Province mapping</x:v>
      </x:c>
      <x:c r="B11" s="46" t="str">
        <x:v>NBS standard 31-province order assigned for reconstruction; original r-index order unavailable</x:v>
      </x:c>
      <x:c r="C11" s="43"/>
      <x:c r="D11" s="43"/>
      <x:c r="E11" s="43"/>
      <x:c r="F11" s="43"/>
    </x:row>
    <x:row r="12">
      <x:c r="A12" s="45" t="str">
        <x:v>Decision dimensions</x:v>
      </x:c>
      <x:c r="B12" s="46" t="str">
        <x:v>31 regions x 4 sectors x 2 modes = 248 variables</x:v>
      </x:c>
      <x:c r="C12" s="43"/>
      <x:c r="D12" s="43"/>
      <x:c r="E12" s="43"/>
      <x:c r="F12" s="43"/>
    </x:row>
    <x:row r="13">
      <x:c r="A13" s="45" t="str">
        <x:v>NBS A0407 retrieval</x:v>
      </x:c>
      <x:c r="B13" s="46" t="str">
        <x:v>Official page returned HTTP 403 on 2026-09-11; no values copied from third-party aggregators.</x:v>
      </x:c>
      <x:c r="C13" s="43"/>
      <x:c r="D13" s="43"/>
      <x:c r="E13" s="43"/>
      <x:c r="F13" s="43"/>
    </x:row>
    <x:row r="14">
      <x:c r="A14" s="45" t="str">
        <x:v>Primary code</x:v>
      </x:c>
      <x:c r="B14" s="46" t="str">
        <x:v>src/fishery_repro/model.py and scripts/build_editor_response_data.py</x:v>
      </x:c>
      <x:c r="C14" s="43"/>
      <x:c r="D14" s="43"/>
      <x:c r="E14" s="43"/>
      <x:c r="F14" s="43"/>
    </x:row>
    <x:row r="15">
      <x:c r="A15" s="43"/>
      <x:c r="B15" s="43"/>
      <x:c r="C15" s="43"/>
      <x:c r="D15" s="43"/>
      <x:c r="E15" s="43"/>
      <x:c r="F15" s="43"/>
    </x:row>
    <x:row r="16">
      <x:c r="A16" s="47" t="str">
        <x:v>Interpretation: yellow = essential limitation; blue headers = structured tables; every proxy column and row is labelled so that it cannot be confused with a historical original.</x:v>
      </x:c>
      <x:c r="B16" s="47"/>
      <x:c r="C16" s="47"/>
      <x:c r="D16" s="47"/>
      <x:c r="E16" s="47"/>
      <x:c r="F16" s="47"/>
    </x:row>
    <x:row r="17">
      <x:c r="A17" s="43"/>
      <x:c r="B17" s="43"/>
      <x:c r="C17" s="43"/>
      <x:c r="D17" s="43"/>
      <x:c r="E17" s="43"/>
      <x:c r="F17" s="43"/>
    </x:row>
    <x:row r="18">
      <x:c r="A18" s="43"/>
      <x:c r="B18" s="43"/>
      <x:c r="C18" s="43"/>
      <x:c r="D18" s="43"/>
      <x:c r="E18" s="43"/>
      <x:c r="F18" s="43"/>
    </x:row>
    <x:row r="19">
      <x:c r="A19" s="43"/>
      <x:c r="B19" s="43"/>
      <x:c r="C19" s="43"/>
      <x:c r="D19" s="43"/>
      <x:c r="E19" s="43"/>
      <x:c r="F19" s="43"/>
    </x:row>
    <x:row r="20">
      <x:c r="A20" s="43"/>
      <x:c r="B20" s="43"/>
      <x:c r="C20" s="43"/>
      <x:c r="D20" s="43"/>
      <x:c r="E20" s="43"/>
      <x:c r="F20" s="43"/>
    </x:row>
  </x:sheetData>
  <x:mergeCells>
    <x:mergeCell ref="A1:F1"/>
    <x:mergeCell ref="A3:F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2" hidden="0" customWidth="1"/>
    <x:col min="5" max="5" width="15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44" hidden="0" customWidth="1"/>
    <x:col min="11" max="11" width="34" hidden="0" customWidth="1"/>
  </x:cols>
  <x:sheetData>
    <x:row r="1" ht="42" hidden="0" customHeight="1">
      <x:c r="A1" s="52" t="str">
        <x:v>region_id</x:v>
      </x:c>
      <x:c r="B1" s="52" t="str">
        <x:v>province_code</x:v>
      </x:c>
      <x:c r="C1" s="52" t="str">
        <x:v>province_en</x:v>
      </x:c>
      <x:c r="D1" s="52" t="str">
        <x:v>province_zh</x:v>
      </x:c>
      <x:c r="E1" s="52" t="str">
        <x:v>region_share_proxy</x:v>
      </x:c>
      <x:c r="F1" s="52" t="str">
        <x:v>digital_index_proxy</x:v>
      </x:c>
      <x:c r="G1" s="52" t="str">
        <x:v>workforce_proxy_people</x:v>
      </x:c>
      <x:c r="H1" s="52" t="str">
        <x:v>cold_capacity_proxy_tonnes</x:v>
      </x:c>
      <x:c r="I1" s="52" t="str">
        <x:v>power_capacity_proxy_kw</x:v>
      </x:c>
      <x:c r="J1" s="52" t="str">
        <x:v>mapping_note</x:v>
      </x:c>
      <x:c r="K1" s="52" t="str">
        <x:v>data_status</x:v>
      </x:c>
    </x:row>
    <x:row r="2" ht="30" hidden="0" customHeight="1">
      <x:c r="A2" s="48" t="str">
        <x:v>r01</x:v>
      </x:c>
      <x:c r="B2" s="48" t="str">
        <x:v>CN-BJ</x:v>
      </x:c>
      <x:c r="C2" s="48" t="str">
        <x:v>Beijing</x:v>
      </x:c>
      <x:c r="D2" s="48" t="str">
        <x:v>北京</x:v>
      </x:c>
      <x:c r="E2" s="54" t="n">
        <x:v>0.05515001528707826</x:v>
      </x:c>
      <x:c r="F2" s="54" t="n">
        <x:v>0.8715945197618833</x:v>
      </x:c>
      <x:c r="G2" s="55" t="n">
        <x:v>651546.1168071742</x:v>
      </x:c>
      <x:c r="H2" s="55" t="n">
        <x:v>1766056.3763646246</x:v>
      </x:c>
      <x:c r="I2" s="55" t="n">
        <x:v>1000094.3443271765</x:v>
      </x:c>
      <x:c r="J2" s="53" t="str">
        <x:v>NBS standard province order assigned for reconstruction; original r-index order unavailable</x:v>
      </x:c>
      <x:c r="K2" s="53" t="str">
        <x:v>calibrated reconstruction; not historical author input</x:v>
      </x:c>
    </x:row>
    <x:row r="3" ht="30" hidden="0" customHeight="1">
      <x:c r="A3" s="48" t="str">
        <x:v>r02</x:v>
      </x:c>
      <x:c r="B3" s="48" t="str">
        <x:v>CN-TJ</x:v>
      </x:c>
      <x:c r="C3" s="48" t="str">
        <x:v>Tianjin</x:v>
      </x:c>
      <x:c r="D3" s="48" t="str">
        <x:v>天津</x:v>
      </x:c>
      <x:c r="E3" s="54" t="n">
        <x:v>0.05286603868483239</x:v>
      </x:c>
      <x:c r="F3" s="54" t="n">
        <x:v>0.902636967927048</x:v>
      </x:c>
      <x:c r="G3" s="55" t="n">
        <x:v>571268.8543976147</x:v>
      </x:c>
      <x:c r="H3" s="55" t="n">
        <x:v>1657742.0583315326</x:v>
      </x:c>
      <x:c r="I3" s="55" t="n">
        <x:v>1063574.816291669</x:v>
      </x:c>
      <x:c r="J3" s="53" t="str">
        <x:v>NBS standard province order assigned for reconstruction; original r-index order unavailable</x:v>
      </x:c>
      <x:c r="K3" s="53" t="str">
        <x:v>calibrated reconstruction; not historical author input</x:v>
      </x:c>
    </x:row>
    <x:row r="4" ht="30" hidden="0" customHeight="1">
      <x:c r="A4" s="48" t="str">
        <x:v>r03</x:v>
      </x:c>
      <x:c r="B4" s="48" t="str">
        <x:v>CN-HE</x:v>
      </x:c>
      <x:c r="C4" s="48" t="str">
        <x:v>Hebei</x:v>
      </x:c>
      <x:c r="D4" s="48" t="str">
        <x:v>河北</x:v>
      </x:c>
      <x:c r="E4" s="54" t="n">
        <x:v>0.041837722260758846</x:v>
      </x:c>
      <x:c r="F4" s="54" t="n">
        <x:v>0.9125215100681507</x:v>
      </x:c>
      <x:c r="G4" s="55" t="n">
        <x:v>426671.9840904591</x:v>
      </x:c>
      <x:c r="H4" s="55" t="n">
        <x:v>1284085.3844734987</x:v>
      </x:c>
      <x:c r="I4" s="55" t="n">
        <x:v>747768.0110176979</x:v>
      </x:c>
      <x:c r="J4" s="53" t="str">
        <x:v>NBS standard province order assigned for reconstruction; original r-index order unavailable</x:v>
      </x:c>
      <x:c r="K4" s="53" t="str">
        <x:v>calibrated reconstruction; not historical author input</x:v>
      </x:c>
    </x:row>
    <x:row r="5" ht="30" hidden="0" customHeight="1">
      <x:c r="A5" s="48" t="str">
        <x:v>r04</x:v>
      </x:c>
      <x:c r="B5" s="48" t="str">
        <x:v>CN-SX</x:v>
      </x:c>
      <x:c r="C5" s="48" t="str">
        <x:v>Shanxi</x:v>
      </x:c>
      <x:c r="D5" s="48" t="str">
        <x:v>山西</x:v>
      </x:c>
      <x:c r="E5" s="54" t="n">
        <x:v>0.04210730252062003</x:v>
      </x:c>
      <x:c r="F5" s="54" t="n">
        <x:v>0.8687815534103528</x:v>
      </x:c>
      <x:c r="G5" s="55" t="n">
        <x:v>472251.3899776165</x:v>
      </x:c>
      <x:c r="H5" s="55" t="n">
        <x:v>1264342.75388117</x:v>
      </x:c>
      <x:c r="I5" s="55" t="n">
        <x:v>735032.6404570927</x:v>
      </x:c>
      <x:c r="J5" s="53" t="str">
        <x:v>NBS standard province order assigned for reconstruction; original r-index order unavailable</x:v>
      </x:c>
      <x:c r="K5" s="53" t="str">
        <x:v>calibrated reconstruction; not historical author input</x:v>
      </x:c>
    </x:row>
    <x:row r="6" ht="30" hidden="0" customHeight="1">
      <x:c r="A6" s="48" t="str">
        <x:v>r05</x:v>
      </x:c>
      <x:c r="B6" s="48" t="str">
        <x:v>CN-NM</x:v>
      </x:c>
      <x:c r="C6" s="48" t="str">
        <x:v>Inner Mongolia</x:v>
      </x:c>
      <x:c r="D6" s="48" t="str">
        <x:v>内蒙古</x:v>
      </x:c>
      <x:c r="E6" s="54" t="n">
        <x:v>0.05221362642167342</x:v>
      </x:c>
      <x:c r="F6" s="54" t="n">
        <x:v>0.8536831455316404</x:v>
      </x:c>
      <x:c r="G6" s="55" t="n">
        <x:v>598140.0057903939</x:v>
      </x:c>
      <x:c r="H6" s="55" t="n">
        <x:v>1533061.203709528</x:v>
      </x:c>
      <x:c r="I6" s="55" t="n">
        <x:v>1035932.0209654227</x:v>
      </x:c>
      <x:c r="J6" s="53" t="str">
        <x:v>NBS standard province order assigned for reconstruction; original r-index order unavailable</x:v>
      </x:c>
      <x:c r="K6" s="53" t="str">
        <x:v>calibrated reconstruction; not historical author input</x:v>
      </x:c>
    </x:row>
    <x:row r="7" ht="30" hidden="0" customHeight="1">
      <x:c r="A7" s="48" t="str">
        <x:v>r06</x:v>
      </x:c>
      <x:c r="B7" s="48" t="str">
        <x:v>CN-LN</x:v>
      </x:c>
      <x:c r="C7" s="48" t="str">
        <x:v>Liaoning</x:v>
      </x:c>
      <x:c r="D7" s="48" t="str">
        <x:v>辽宁</x:v>
      </x:c>
      <x:c r="E7" s="54" t="n">
        <x:v>0.04414901885289024</x:v>
      </x:c>
      <x:c r="F7" s="54" t="n">
        <x:v>0.8326766120798901</x:v>
      </x:c>
      <x:c r="G7" s="55" t="n">
        <x:v>580954.0718862708</x:v>
      </x:c>
      <x:c r="H7" s="55" t="n">
        <x:v>1266898.566324395</x:v>
      </x:c>
      <x:c r="I7" s="55" t="n">
        <x:v>811840.5549216125</x:v>
      </x:c>
      <x:c r="J7" s="53" t="str">
        <x:v>NBS standard province order assigned for reconstruction; original r-index order unavailable</x:v>
      </x:c>
      <x:c r="K7" s="53" t="str">
        <x:v>calibrated reconstruction; not historical author input</x:v>
      </x:c>
    </x:row>
    <x:row r="8" ht="30" hidden="0" customHeight="1">
      <x:c r="A8" s="48" t="str">
        <x:v>r07</x:v>
      </x:c>
      <x:c r="B8" s="48" t="str">
        <x:v>CN-JL</x:v>
      </x:c>
      <x:c r="C8" s="48" t="str">
        <x:v>Jilin</x:v>
      </x:c>
      <x:c r="D8" s="48" t="str">
        <x:v>吉林</x:v>
      </x:c>
      <x:c r="E8" s="54" t="n">
        <x:v>0.03594748469832325</x:v>
      </x:c>
      <x:c r="F8" s="54" t="n">
        <x:v>0.8452625184478366</x:v>
      </x:c>
      <x:c r="G8" s="55" t="n">
        <x:v>410524.2661301078</x:v>
      </x:c>
      <x:c r="H8" s="55" t="n">
        <x:v>1007629.5621547697</x:v>
      </x:c>
      <x:c r="I8" s="55" t="n">
        <x:v>723735.5637490759</x:v>
      </x:c>
      <x:c r="J8" s="53" t="str">
        <x:v>NBS standard province order assigned for reconstruction; original r-index order unavailable</x:v>
      </x:c>
      <x:c r="K8" s="53" t="str">
        <x:v>calibrated reconstruction; not historical author input</x:v>
      </x:c>
    </x:row>
    <x:row r="9" ht="30" hidden="0" customHeight="1">
      <x:c r="A9" s="48" t="str">
        <x:v>r08</x:v>
      </x:c>
      <x:c r="B9" s="48" t="str">
        <x:v>CN-HL</x:v>
      </x:c>
      <x:c r="C9" s="48" t="str">
        <x:v>Heilongjiang</x:v>
      </x:c>
      <x:c r="D9" s="48" t="str">
        <x:v>黑龙江</x:v>
      </x:c>
      <x:c r="E9" s="54" t="n">
        <x:v>0.04141314302051308</x:v>
      </x:c>
      <x:c r="F9" s="54" t="n">
        <x:v>0.7672091985536691</x:v>
      </x:c>
      <x:c r="G9" s="55" t="n">
        <x:v>488685.8047665161</x:v>
      </x:c>
      <x:c r="H9" s="55" t="n">
        <x:v>1133280.5104378248</x:v>
      </x:c>
      <x:c r="I9" s="55" t="n">
        <x:v>772925.4136496994</x:v>
      </x:c>
      <x:c r="J9" s="53" t="str">
        <x:v>NBS standard province order assigned for reconstruction; original r-index order unavailable</x:v>
      </x:c>
      <x:c r="K9" s="53" t="str">
        <x:v>calibrated reconstruction; not historical author input</x:v>
      </x:c>
    </x:row>
    <x:row r="10" ht="30" hidden="0" customHeight="1">
      <x:c r="A10" s="48" t="str">
        <x:v>r09</x:v>
      </x:c>
      <x:c r="B10" s="48" t="str">
        <x:v>CN-SH</x:v>
      </x:c>
      <x:c r="C10" s="48" t="str">
        <x:v>Shanghai</x:v>
      </x:c>
      <x:c r="D10" s="48" t="str">
        <x:v>上海</x:v>
      </x:c>
      <x:c r="E10" s="54" t="n">
        <x:v>0.04575350561189124</x:v>
      </x:c>
      <x:c r="F10" s="54" t="n">
        <x:v>0.8236783715673804</x:v>
      </x:c>
      <x:c r="G10" s="55" t="n">
        <x:v>580911.4133750133</x:v>
      </x:c>
      <x:c r="H10" s="55" t="n">
        <x:v>1221612.9192286504</x:v>
      </x:c>
      <x:c r="I10" s="55" t="n">
        <x:v>899965.1838710794</x:v>
      </x:c>
      <x:c r="J10" s="53" t="str">
        <x:v>NBS standard province order assigned for reconstruction; original r-index order unavailable</x:v>
      </x:c>
      <x:c r="K10" s="53" t="str">
        <x:v>calibrated reconstruction; not historical author input</x:v>
      </x:c>
    </x:row>
    <x:row r="11" ht="30" hidden="0" customHeight="1">
      <x:c r="A11" s="48" t="str">
        <x:v>r10</x:v>
      </x:c>
      <x:c r="B11" s="48" t="str">
        <x:v>CN-JS</x:v>
      </x:c>
      <x:c r="C11" s="48" t="str">
        <x:v>Jiangsu</x:v>
      </x:c>
      <x:c r="D11" s="48" t="str">
        <x:v>江苏</x:v>
      </x:c>
      <x:c r="E11" s="54" t="n">
        <x:v>0.04358052190838587</x:v>
      </x:c>
      <x:c r="F11" s="54" t="n">
        <x:v>0.6930065164429888</x:v>
      </x:c>
      <x:c r="G11" s="55" t="n">
        <x:v>505068.1835816982</x:v>
      </x:c>
      <x:c r="H11" s="55" t="n">
        <x:v>1134597.6989740615</x:v>
      </x:c>
      <x:c r="I11" s="55" t="n">
        <x:v>862726.890377658</x:v>
      </x:c>
      <x:c r="J11" s="53" t="str">
        <x:v>NBS standard province order assigned for reconstruction; original r-index order unavailable</x:v>
      </x:c>
      <x:c r="K11" s="53" t="str">
        <x:v>calibrated reconstruction; not historical author input</x:v>
      </x:c>
    </x:row>
    <x:row r="12" ht="30" hidden="0" customHeight="1">
      <x:c r="A12" s="48" t="str">
        <x:v>r11</x:v>
      </x:c>
      <x:c r="B12" s="48" t="str">
        <x:v>CN-ZJ</x:v>
      </x:c>
      <x:c r="C12" s="48" t="str">
        <x:v>Zhejiang</x:v>
      </x:c>
      <x:c r="D12" s="48" t="str">
        <x:v>浙江</x:v>
      </x:c>
      <x:c r="E12" s="54" t="n">
        <x:v>0.03358401469773325</x:v>
      </x:c>
      <x:c r="F12" s="54" t="n">
        <x:v>0.7980870392447718</x:v>
      </x:c>
      <x:c r="G12" s="55" t="n">
        <x:v>378827.3354838619</x:v>
      </x:c>
      <x:c r="H12" s="55" t="n">
        <x:v>851997.9653753614</x:v>
      </x:c>
      <x:c r="I12" s="55" t="n">
        <x:v>654728.5305392989</x:v>
      </x:c>
      <x:c r="J12" s="53" t="str">
        <x:v>NBS standard province order assigned for reconstruction; original r-index order unavailable</x:v>
      </x:c>
      <x:c r="K12" s="53" t="str">
        <x:v>calibrated reconstruction; not historical author input</x:v>
      </x:c>
    </x:row>
    <x:row r="13" ht="30" hidden="0" customHeight="1">
      <x:c r="A13" s="48" t="str">
        <x:v>r12</x:v>
      </x:c>
      <x:c r="B13" s="48" t="str">
        <x:v>CN-AH</x:v>
      </x:c>
      <x:c r="C13" s="48" t="str">
        <x:v>Anhui</x:v>
      </x:c>
      <x:c r="D13" s="48" t="str">
        <x:v>安徽</x:v>
      </x:c>
      <x:c r="E13" s="54" t="n">
        <x:v>0.03700651360987694</x:v>
      </x:c>
      <x:c r="F13" s="54" t="n">
        <x:v>0.7636869397361422</x:v>
      </x:c>
      <x:c r="G13" s="55" t="n">
        <x:v>409179.3295375058</x:v>
      </x:c>
      <x:c r="H13" s="55" t="n">
        <x:v>914201.130096449</x:v>
      </x:c>
      <x:c r="I13" s="55" t="n">
        <x:v>726041.100139937</x:v>
      </x:c>
      <x:c r="J13" s="53" t="str">
        <x:v>NBS standard province order assigned for reconstruction; original r-index order unavailable</x:v>
      </x:c>
      <x:c r="K13" s="53" t="str">
        <x:v>calibrated reconstruction; not historical author input</x:v>
      </x:c>
    </x:row>
    <x:row r="14" ht="30" hidden="0" customHeight="1">
      <x:c r="A14" s="48" t="str">
        <x:v>r13</x:v>
      </x:c>
      <x:c r="B14" s="48" t="str">
        <x:v>CN-FJ</x:v>
      </x:c>
      <x:c r="C14" s="48" t="str">
        <x:v>Fujian</x:v>
      </x:c>
      <x:c r="D14" s="48" t="str">
        <x:v>福建</x:v>
      </x:c>
      <x:c r="E14" s="54" t="n">
        <x:v>0.03130421248837167</x:v>
      </x:c>
      <x:c r="F14" s="54" t="n">
        <x:v>0.6392608698719895</x:v>
      </x:c>
      <x:c r="G14" s="55" t="n">
        <x:v>332412.3280616791</x:v>
      </x:c>
      <x:c r="H14" s="55" t="n">
        <x:v>752504.0475052511</x:v>
      </x:c>
      <x:c r="I14" s="55" t="n">
        <x:v>560937.2572346637</x:v>
      </x:c>
      <x:c r="J14" s="53" t="str">
        <x:v>NBS standard province order assigned for reconstruction; original r-index order unavailable</x:v>
      </x:c>
      <x:c r="K14" s="53" t="str">
        <x:v>calibrated reconstruction; not historical author input</x:v>
      </x:c>
    </x:row>
    <x:row r="15" ht="30" hidden="0" customHeight="1">
      <x:c r="A15" s="48" t="str">
        <x:v>r14</x:v>
      </x:c>
      <x:c r="B15" s="48" t="str">
        <x:v>CN-JX</x:v>
      </x:c>
      <x:c r="C15" s="48" t="str">
        <x:v>Jiangxi</x:v>
      </x:c>
      <x:c r="D15" s="48" t="str">
        <x:v>江西</x:v>
      </x:c>
      <x:c r="E15" s="54" t="n">
        <x:v>0.037988153872838916</x:v>
      </x:c>
      <x:c r="F15" s="54" t="n">
        <x:v>0.673401379475816</x:v>
      </x:c>
      <x:c r="G15" s="55" t="n">
        <x:v>453207.60107136203</x:v>
      </x:c>
      <x:c r="H15" s="55" t="n">
        <x:v>887899.6132601189</x:v>
      </x:c>
      <x:c r="I15" s="55" t="n">
        <x:v>701395.0245607767</x:v>
      </x:c>
      <x:c r="J15" s="53" t="str">
        <x:v>NBS standard province order assigned for reconstruction; original r-index order unavailable</x:v>
      </x:c>
      <x:c r="K15" s="53" t="str">
        <x:v>calibrated reconstruction; not historical author input</x:v>
      </x:c>
    </x:row>
    <x:row r="16" ht="30" hidden="0" customHeight="1">
      <x:c r="A16" s="48" t="str">
        <x:v>r15</x:v>
      </x:c>
      <x:c r="B16" s="48" t="str">
        <x:v>CN-SD</x:v>
      </x:c>
      <x:c r="C16" s="48" t="str">
        <x:v>Shandong</x:v>
      </x:c>
      <x:c r="D16" s="48" t="str">
        <x:v>山东</x:v>
      </x:c>
      <x:c r="E16" s="54" t="n">
        <x:v>0.031046845492066894</x:v>
      </x:c>
      <x:c r="F16" s="54" t="n">
        <x:v>0.6471659495304981</x:v>
      </x:c>
      <x:c r="G16" s="55" t="n">
        <x:v>380071.6249390746</x:v>
      </x:c>
      <x:c r="H16" s="55" t="n">
        <x:v>705002.5643913081</x:v>
      </x:c>
      <x:c r="I16" s="55" t="n">
        <x:v>581829.8823822396</x:v>
      </x:c>
      <x:c r="J16" s="53" t="str">
        <x:v>NBS standard province order assigned for reconstruction; original r-index order unavailable</x:v>
      </x:c>
      <x:c r="K16" s="53" t="str">
        <x:v>calibrated reconstruction; not historical author input</x:v>
      </x:c>
    </x:row>
    <x:row r="17" ht="30" hidden="0" customHeight="1">
      <x:c r="A17" s="48" t="str">
        <x:v>r16</x:v>
      </x:c>
      <x:c r="B17" s="48" t="str">
        <x:v>CN-HA</x:v>
      </x:c>
      <x:c r="C17" s="48" t="str">
        <x:v>Henan</x:v>
      </x:c>
      <x:c r="D17" s="48" t="str">
        <x:v>河南</x:v>
      </x:c>
      <x:c r="E17" s="54" t="n">
        <x:v>0.03717671226157821</x:v>
      </x:c>
      <x:c r="F17" s="54" t="n">
        <x:v>0.7369182196968678</x:v>
      </x:c>
      <x:c r="G17" s="55" t="n">
        <x:v>433716.4556252219</x:v>
      </x:c>
      <x:c r="H17" s="55" t="n">
        <x:v>819461.7886694223</x:v>
      </x:c>
      <x:c r="I17" s="55" t="n">
        <x:v>702312.3891192329</x:v>
      </x:c>
      <x:c r="J17" s="53" t="str">
        <x:v>NBS standard province order assigned for reconstruction; original r-index order unavailable</x:v>
      </x:c>
      <x:c r="K17" s="53" t="str">
        <x:v>calibrated reconstruction; not historical author input</x:v>
      </x:c>
    </x:row>
    <x:row r="18" ht="30" hidden="0" customHeight="1">
      <x:c r="A18" s="48" t="str">
        <x:v>r17</x:v>
      </x:c>
      <x:c r="B18" s="48" t="str">
        <x:v>CN-HB</x:v>
      </x:c>
      <x:c r="C18" s="48" t="str">
        <x:v>Hubei</x:v>
      </x:c>
      <x:c r="D18" s="48" t="str">
        <x:v>湖北</x:v>
      </x:c>
      <x:c r="E18" s="54" t="n">
        <x:v>0.0292164458142713</x:v>
      </x:c>
      <x:c r="F18" s="54" t="n">
        <x:v>0.6513480149348244</x:v>
      </x:c>
      <x:c r="G18" s="55" t="n">
        <x:v>374753.23211780586</x:v>
      </x:c>
      <x:c r="H18" s="55" t="n">
        <x:v>624559.3628371947</x:v>
      </x:c>
      <x:c r="I18" s="55" t="n">
        <x:v>587379.8423416559</x:v>
      </x:c>
      <x:c r="J18" s="53" t="str">
        <x:v>NBS standard province order assigned for reconstruction; original r-index order unavailable</x:v>
      </x:c>
      <x:c r="K18" s="53" t="str">
        <x:v>calibrated reconstruction; not historical author input</x:v>
      </x:c>
    </x:row>
    <x:row r="19" ht="30" hidden="0" customHeight="1">
      <x:c r="A19" s="48" t="str">
        <x:v>r18</x:v>
      </x:c>
      <x:c r="B19" s="48" t="str">
        <x:v>CN-HN</x:v>
      </x:c>
      <x:c r="C19" s="48" t="str">
        <x:v>Hunan</x:v>
      </x:c>
      <x:c r="D19" s="48" t="str">
        <x:v>湖南</x:v>
      </x:c>
      <x:c r="E19" s="54" t="n">
        <x:v>0.0313667894151585</x:v>
      </x:c>
      <x:c r="F19" s="54" t="n">
        <x:v>0.5744586464166167</x:v>
      </x:c>
      <x:c r="G19" s="55" t="n">
        <x:v>349300.7598615566</x:v>
      </x:c>
      <x:c r="H19" s="55" t="n">
        <x:v>649656.9427442645</x:v>
      </x:c>
      <x:c r="I19" s="55" t="n">
        <x:v>592471.4005945753</x:v>
      </x:c>
      <x:c r="J19" s="53" t="str">
        <x:v>NBS standard province order assigned for reconstruction; original r-index order unavailable</x:v>
      </x:c>
      <x:c r="K19" s="53" t="str">
        <x:v>calibrated reconstruction; not historical author input</x:v>
      </x:c>
    </x:row>
    <x:row r="20" ht="30" hidden="0" customHeight="1">
      <x:c r="A20" s="48" t="str">
        <x:v>r19</x:v>
      </x:c>
      <x:c r="B20" s="48" t="str">
        <x:v>CN-GD</x:v>
      </x:c>
      <x:c r="C20" s="48" t="str">
        <x:v>Guangdong</x:v>
      </x:c>
      <x:c r="D20" s="48" t="str">
        <x:v>广东</x:v>
      </x:c>
      <x:c r="E20" s="54" t="n">
        <x:v>0.02892183133458269</x:v>
      </x:c>
      <x:c r="F20" s="54" t="n">
        <x:v>0.6318033931043041</x:v>
      </x:c>
      <x:c r="G20" s="55" t="n">
        <x:v>334713.8281726302</x:v>
      </x:c>
      <x:c r="H20" s="55" t="n">
        <x:v>579774.4174877863</x:v>
      </x:c>
      <x:c r="I20" s="55" t="n">
        <x:v>529174.2977163928</x:v>
      </x:c>
      <x:c r="J20" s="53" t="str">
        <x:v>NBS standard province order assigned for reconstruction; original r-index order unavailable</x:v>
      </x:c>
      <x:c r="K20" s="53" t="str">
        <x:v>calibrated reconstruction; not historical author input</x:v>
      </x:c>
    </x:row>
    <x:row r="21" ht="30" hidden="0" customHeight="1">
      <x:c r="A21" s="48" t="str">
        <x:v>r20</x:v>
      </x:c>
      <x:c r="B21" s="48" t="str">
        <x:v>CN-GX</x:v>
      </x:c>
      <x:c r="C21" s="48" t="str">
        <x:v>Guangxi</x:v>
      </x:c>
      <x:c r="D21" s="48" t="str">
        <x:v>广西</x:v>
      </x:c>
      <x:c r="E21" s="54" t="n">
        <x:v>0.025598359984382774</x:v>
      </x:c>
      <x:c r="F21" s="54" t="n">
        <x:v>0.5791818231110601</x:v>
      </x:c>
      <x:c r="G21" s="55" t="n">
        <x:v>271424.14281422785</x:v>
      </x:c>
      <x:c r="H21" s="55" t="n">
        <x:v>496119.0848587859</x:v>
      </x:c>
      <x:c r="I21" s="55" t="n">
        <x:v>510019.9975933949</x:v>
      </x:c>
      <x:c r="J21" s="53" t="str">
        <x:v>NBS standard province order assigned for reconstruction; original r-index order unavailable</x:v>
      </x:c>
      <x:c r="K21" s="53" t="str">
        <x:v>calibrated reconstruction; not historical author input</x:v>
      </x:c>
    </x:row>
    <x:row r="22" ht="30" hidden="0" customHeight="1">
      <x:c r="A22" s="48" t="str">
        <x:v>r21</x:v>
      </x:c>
      <x:c r="B22" s="48" t="str">
        <x:v>CN-HI</x:v>
      </x:c>
      <x:c r="C22" s="48" t="str">
        <x:v>Hainan</x:v>
      </x:c>
      <x:c r="D22" s="48" t="str">
        <x:v>海南</x:v>
      </x:c>
      <x:c r="E22" s="54" t="n">
        <x:v>0.021969007431234307</x:v>
      </x:c>
      <x:c r="F22" s="54" t="n">
        <x:v>0.6416860076867712</x:v>
      </x:c>
      <x:c r="G22" s="55" t="n">
        <x:v>274322.41535170155</x:v>
      </x:c>
      <x:c r="H22" s="55" t="n">
        <x:v>411161.6463849504</x:v>
      </x:c>
      <x:c r="I22" s="55" t="n">
        <x:v>440104.9479166427</x:v>
      </x:c>
      <x:c r="J22" s="53" t="str">
        <x:v>NBS standard province order assigned for reconstruction; original r-index order unavailable</x:v>
      </x:c>
      <x:c r="K22" s="53" t="str">
        <x:v>calibrated reconstruction; not historical author input</x:v>
      </x:c>
    </x:row>
    <x:row r="23" ht="30" hidden="0" customHeight="1">
      <x:c r="A23" s="48" t="str">
        <x:v>r22</x:v>
      </x:c>
      <x:c r="B23" s="48" t="str">
        <x:v>CN-CQ</x:v>
      </x:c>
      <x:c r="C23" s="48" t="str">
        <x:v>Chongqing</x:v>
      </x:c>
      <x:c r="D23" s="48" t="str">
        <x:v>重庆</x:v>
      </x:c>
      <x:c r="E23" s="54" t="n">
        <x:v>0.02476587535483139</x:v>
      </x:c>
      <x:c r="F23" s="54" t="n">
        <x:v>0.580378740612527</x:v>
      </x:c>
      <x:c r="G23" s="55" t="n">
        <x:v>308935.8438390641</x:v>
      </x:c>
      <x:c r="H23" s="55" t="n">
        <x:v>447028.24211097317</x:v>
      </x:c>
      <x:c r="I23" s="55" t="n">
        <x:v>439943.44747418456</x:v>
      </x:c>
      <x:c r="J23" s="53" t="str">
        <x:v>NBS standard province order assigned for reconstruction; original r-index order unavailable</x:v>
      </x:c>
      <x:c r="K23" s="53" t="str">
        <x:v>calibrated reconstruction; not historical author input</x:v>
      </x:c>
    </x:row>
    <x:row r="24" ht="30" hidden="0" customHeight="1">
      <x:c r="A24" s="48" t="str">
        <x:v>r23</x:v>
      </x:c>
      <x:c r="B24" s="48" t="str">
        <x:v>CN-SC</x:v>
      </x:c>
      <x:c r="C24" s="48" t="str">
        <x:v>Sichuan</x:v>
      </x:c>
      <x:c r="D24" s="48" t="str">
        <x:v>四川</x:v>
      </x:c>
      <x:c r="E24" s="54" t="n">
        <x:v>0.022875031163627758</x:v>
      </x:c>
      <x:c r="F24" s="54" t="n">
        <x:v>0.5056218533497261</x:v>
      </x:c>
      <x:c r="G24" s="55" t="n">
        <x:v>239682.84792080175</x:v>
      </x:c>
      <x:c r="H24" s="55" t="n">
        <x:v>397678.00690371083</x:v>
      </x:c>
      <x:c r="I24" s="55" t="n">
        <x:v>410987.0035460712</x:v>
      </x:c>
      <x:c r="J24" s="53" t="str">
        <x:v>NBS standard province order assigned for reconstruction; original r-index order unavailable</x:v>
      </x:c>
      <x:c r="K24" s="53" t="str">
        <x:v>calibrated reconstruction; not historical author input</x:v>
      </x:c>
    </x:row>
    <x:row r="25" ht="30" hidden="0" customHeight="1">
      <x:c r="A25" s="48" t="str">
        <x:v>r24</x:v>
      </x:c>
      <x:c r="B25" s="48" t="str">
        <x:v>CN-GZ</x:v>
      </x:c>
      <x:c r="C25" s="48" t="str">
        <x:v>Guizhou</x:v>
      </x:c>
      <x:c r="D25" s="48" t="str">
        <x:v>贵州</x:v>
      </x:c>
      <x:c r="E25" s="54" t="n">
        <x:v>0.027203291352390798</x:v>
      </x:c>
      <x:c r="F25" s="54" t="n">
        <x:v>0.6222092256941605</x:v>
      </x:c>
      <x:c r="G25" s="55" t="n">
        <x:v>360279.36375331465</x:v>
      </x:c>
      <x:c r="H25" s="55" t="n">
        <x:v>454823.938324087</x:v>
      </x:c>
      <x:c r="I25" s="55" t="n">
        <x:v>539660.9705568755</x:v>
      </x:c>
      <x:c r="J25" s="53" t="str">
        <x:v>NBS standard province order assigned for reconstruction; original r-index order unavailable</x:v>
      </x:c>
      <x:c r="K25" s="53" t="str">
        <x:v>calibrated reconstruction; not historical author input</x:v>
      </x:c>
    </x:row>
    <x:row r="26" ht="30" hidden="0" customHeight="1">
      <x:c r="A26" s="48" t="str">
        <x:v>r25</x:v>
      </x:c>
      <x:c r="B26" s="48" t="str">
        <x:v>CN-YN</x:v>
      </x:c>
      <x:c r="C26" s="48" t="str">
        <x:v>Yunnan</x:v>
      </x:c>
      <x:c r="D26" s="48" t="str">
        <x:v>云南</x:v>
      </x:c>
      <x:c r="E26" s="54" t="n">
        <x:v>0.02322410947419216</x:v>
      </x:c>
      <x:c r="F26" s="54" t="n">
        <x:v>0.4815683212710874</x:v>
      </x:c>
      <x:c r="G26" s="55" t="n">
        <x:v>284122.0537675518</x:v>
      </x:c>
      <x:c r="H26" s="55" t="n">
        <x:v>372841.78410961194</x:v>
      </x:c>
      <x:c r="I26" s="55" t="n">
        <x:v>471154.72192583425</x:v>
      </x:c>
      <x:c r="J26" s="53" t="str">
        <x:v>NBS standard province order assigned for reconstruction; original r-index order unavailable</x:v>
      </x:c>
      <x:c r="K26" s="53" t="str">
        <x:v>calibrated reconstruction; not historical author input</x:v>
      </x:c>
    </x:row>
    <x:row r="27" ht="30" hidden="0" customHeight="1">
      <x:c r="A27" s="48" t="str">
        <x:v>r26</x:v>
      </x:c>
      <x:c r="B27" s="48" t="str">
        <x:v>CN-XZ</x:v>
      </x:c>
      <x:c r="C27" s="48" t="str">
        <x:v>Tibet</x:v>
      </x:c>
      <x:c r="D27" s="48" t="str">
        <x:v>西藏</x:v>
      </x:c>
      <x:c r="E27" s="54" t="n">
        <x:v>0.01973543020792502</x:v>
      </x:c>
      <x:c r="F27" s="54" t="n">
        <x:v>0.48815883171375496</x:v>
      </x:c>
      <x:c r="G27" s="55" t="n">
        <x:v>199218.86662990725</x:v>
      </x:c>
      <x:c r="H27" s="55" t="n">
        <x:v>303703.0309622417</x:v>
      </x:c>
      <x:c r="I27" s="55" t="n">
        <x:v>369086.96505644696</x:v>
      </x:c>
      <x:c r="J27" s="53" t="str">
        <x:v>NBS standard province order assigned for reconstruction; original r-index order unavailable</x:v>
      </x:c>
      <x:c r="K27" s="53" t="str">
        <x:v>calibrated reconstruction; not historical author input</x:v>
      </x:c>
    </x:row>
    <x:row r="28" ht="30" hidden="0" customHeight="1">
      <x:c r="A28" s="48" t="str">
        <x:v>r27</x:v>
      </x:c>
      <x:c r="B28" s="48" t="str">
        <x:v>CN-SN</x:v>
      </x:c>
      <x:c r="C28" s="48" t="str">
        <x:v>Shaanxi</x:v>
      </x:c>
      <x:c r="D28" s="48" t="str">
        <x:v>陕西</x:v>
      </x:c>
      <x:c r="E28" s="54" t="n">
        <x:v>0.01794437815521084</x:v>
      </x:c>
      <x:c r="F28" s="54" t="n">
        <x:v>0.5123833642682362</x:v>
      </x:c>
      <x:c r="G28" s="55" t="n">
        <x:v>179822.02797266233</x:v>
      </x:c>
      <x:c r="H28" s="55" t="n">
        <x:v>264201.52233587985</x:v>
      </x:c>
      <x:c r="I28" s="55" t="n">
        <x:v>341275.5383390792</x:v>
      </x:c>
      <x:c r="J28" s="53" t="str">
        <x:v>NBS standard province order assigned for reconstruction; original r-index order unavailable</x:v>
      </x:c>
      <x:c r="K28" s="53" t="str">
        <x:v>calibrated reconstruction; not historical author input</x:v>
      </x:c>
    </x:row>
    <x:row r="29" ht="30" hidden="0" customHeight="1">
      <x:c r="A29" s="48" t="str">
        <x:v>r28</x:v>
      </x:c>
      <x:c r="B29" s="48" t="str">
        <x:v>CN-GS</x:v>
      </x:c>
      <x:c r="C29" s="48" t="str">
        <x:v>Gansu</x:v>
      </x:c>
      <x:c r="D29" s="48" t="str">
        <x:v>甘肃</x:v>
      </x:c>
      <x:c r="E29" s="54" t="n">
        <x:v>0.018613996368883192</x:v>
      </x:c>
      <x:c r="F29" s="54" t="n">
        <x:v>0.571404276192481</x:v>
      </x:c>
      <x:c r="G29" s="55" t="n">
        <x:v>196191.38792125433</x:v>
      </x:c>
      <x:c r="H29" s="55" t="n">
        <x:v>261675.50503359202</x:v>
      </x:c>
      <x:c r="I29" s="55" t="n">
        <x:v>343321.56225335127</x:v>
      </x:c>
      <x:c r="J29" s="53" t="str">
        <x:v>NBS standard province order assigned for reconstruction; original r-index order unavailable</x:v>
      </x:c>
      <x:c r="K29" s="53" t="str">
        <x:v>calibrated reconstruction; not historical author input</x:v>
      </x:c>
    </x:row>
    <x:row r="30" ht="30" hidden="0" customHeight="1">
      <x:c r="A30" s="48" t="str">
        <x:v>r29</x:v>
      </x:c>
      <x:c r="B30" s="48" t="str">
        <x:v>CN-QH</x:v>
      </x:c>
      <x:c r="C30" s="48" t="str">
        <x:v>Qinghai</x:v>
      </x:c>
      <x:c r="D30" s="48" t="str">
        <x:v>青海</x:v>
      </x:c>
      <x:c r="E30" s="54" t="n">
        <x:v>0.016616793216606786</x:v>
      </x:c>
      <x:c r="F30" s="54" t="n">
        <x:v>0.5173071504287805</x:v>
      </x:c>
      <x:c r="G30" s="55" t="n">
        <x:v>175064.82028669296</x:v>
      </x:c>
      <x:c r="H30" s="55" t="n">
        <x:v>222542.6456095911</x:v>
      </x:c>
      <x:c r="I30" s="55" t="n">
        <x:v>326063.53700724954</x:v>
      </x:c>
      <x:c r="J30" s="53" t="str">
        <x:v>NBS standard province order assigned for reconstruction; original r-index order unavailable</x:v>
      </x:c>
      <x:c r="K30" s="53" t="str">
        <x:v>calibrated reconstruction; not historical author input</x:v>
      </x:c>
    </x:row>
    <x:row r="31" ht="30" hidden="0" customHeight="1">
      <x:c r="A31" s="48" t="str">
        <x:v>r30</x:v>
      </x:c>
      <x:c r="B31" s="48" t="str">
        <x:v>CN-NX</x:v>
      </x:c>
      <x:c r="C31" s="48" t="str">
        <x:v>Ningxia</x:v>
      </x:c>
      <x:c r="D31" s="48" t="str">
        <x:v>宁夏</x:v>
      </x:c>
      <x:c r="E31" s="54" t="n">
        <x:v>0.01457231075986462</x:v>
      </x:c>
      <x:c r="F31" s="54" t="n">
        <x:v>0.4895526645920944</x:v>
      </x:c>
      <x:c r="G31" s="55" t="n">
        <x:v>161547.89825799922</x:v>
      </x:c>
      <x:c r="H31" s="55" t="n">
        <x:v>185465.77592058064</x:v>
      </x:c>
      <x:c r="I31" s="55" t="n">
        <x:v>278122.8349016702</x:v>
      </x:c>
      <x:c r="J31" s="53" t="str">
        <x:v>NBS standard province order assigned for reconstruction; original r-index order unavailable</x:v>
      </x:c>
      <x:c r="K31" s="53" t="str">
        <x:v>calibrated reconstruction; not historical author input</x:v>
      </x:c>
    </x:row>
    <x:row r="32" ht="30" hidden="0" customHeight="1">
      <x:c r="A32" s="48" t="str">
        <x:v>r31</x:v>
      </x:c>
      <x:c r="B32" s="48" t="str">
        <x:v>CN-XJ</x:v>
      </x:c>
      <x:c r="C32" s="48" t="str">
        <x:v>Xinjiang</x:v>
      </x:c>
      <x:c r="D32" s="48" t="str">
        <x:v>新疆</x:v>
      </x:c>
      <x:c r="E32" s="54" t="n">
        <x:v>0.014251518277405333</x:v>
      </x:c>
      <x:c r="F32" s="54" t="n">
        <x:v>0.38436980275836097</x:v>
      </x:c>
      <x:c r="G32" s="55" t="n">
        <x:v>191516.5007062977</x:v>
      </x:c>
      <x:c r="H32" s="55" t="n">
        <x:v>171900.5431102269</x:v>
      </x:c>
      <x:c r="I32" s="55" t="n">
        <x:v>278727.90959364764</x:v>
      </x:c>
      <x:c r="J32" s="53" t="str">
        <x:v>NBS standard province order assigned for reconstruction; original r-index order unavailable</x:v>
      </x:c>
      <x:c r="K32" s="53" t="str">
        <x:v>calibrated reconstruction; not historical author input</x:v>
      </x:c>
    </x:row>
  </x:sheetData>
  <x:pageMargins left="0.7" right="0.7" top="0.75" bottom="0.75" header="0.3" footer="0.3"/>
  <x:tableParts count="1">
    <x:tablePart xmlns:r="http://schemas.openxmlformats.org/officeDocument/2006/relationships" r:id="Rd3d442a05a2d407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2" hidden="0" customWidth="1"/>
    <x:col min="4" max="4" width="18" hidden="0" customWidth="1"/>
    <x:col min="5" max="5" width="12" hidden="0" customWidth="1"/>
    <x:col min="6" max="6" width="7.630000114440918" hidden="0" customWidth="1"/>
    <x:col min="7" max="7" width="18" hidden="0" customWidth="1"/>
    <x:col min="8" max="8" width="7.880000114440918" hidden="0" customWidth="1"/>
    <x:col min="9" max="9" width="10" hidden="0" customWidth="1"/>
    <x:col min="10" max="10" width="18" hidden="0" customWidth="1"/>
    <x:col min="11" max="11" width="7.380000114440918" hidden="0" customWidth="1"/>
    <x:col min="12" max="12" width="18" hidden="0" customWidth="1"/>
    <x:col min="13" max="13" width="15.25" hidden="0" customWidth="1"/>
    <x:col min="14" max="14" width="15.130000114440918" hidden="0" customWidth="1"/>
    <x:col min="15" max="15" width="19.1299991607666" hidden="0" customWidth="1"/>
    <x:col min="16" max="16" width="22.1299991607666" hidden="0" customWidth="1"/>
    <x:col min="17" max="17" width="20.3799991607666" hidden="0" customWidth="1"/>
    <x:col min="18" max="18" width="20.1299991607666" hidden="0" customWidth="1"/>
    <x:col min="19" max="19" width="26" hidden="0" customWidth="1"/>
    <x:col min="20" max="20" width="28.6299991607666" hidden="0" customWidth="1"/>
    <x:col min="21" max="21" width="19.1299991607666" hidden="0" customWidth="1"/>
    <x:col min="22" max="22" width="23.5" hidden="0" customWidth="1"/>
    <x:col min="23" max="23" width="36" hidden="0" customWidth="1"/>
  </x:cols>
  <x:sheetData>
    <x:row r="1" ht="42" hidden="0" customHeight="1">
      <x:c r="A1" s="52" t="str">
        <x:v>variable_id</x:v>
      </x:c>
      <x:c r="B1" s="52" t="str">
        <x:v>region_id</x:v>
      </x:c>
      <x:c r="C1" s="52" t="str">
        <x:v>province_code</x:v>
      </x:c>
      <x:c r="D1" s="52" t="str">
        <x:v>province_en</x:v>
      </x:c>
      <x:c r="E1" s="52" t="str">
        <x:v>province_zh</x:v>
      </x:c>
      <x:c r="F1" s="52" t="str">
        <x:v>sector_id</x:v>
      </x:c>
      <x:c r="G1" s="52" t="str">
        <x:v>sector_en</x:v>
      </x:c>
      <x:c r="H1" s="52" t="str">
        <x:v>sector_zh</x:v>
      </x:c>
      <x:c r="I1" s="52" t="str">
        <x:v>mode_id</x:v>
      </x:c>
      <x:c r="J1" s="52" t="str">
        <x:v>mode_en</x:v>
      </x:c>
      <x:c r="K1" s="52" t="str">
        <x:v>mode_zh</x:v>
      </x:c>
      <x:c r="L1" s="52" t="str">
        <x:v>upper_bound_proxy_tonnes</x:v>
      </x:c>
      <x:c r="M1" s="52" t="str">
        <x:v>region_share_proxy</x:v>
      </x:c>
      <x:c r="N1" s="52" t="str">
        <x:v>digital_index_proxy</x:v>
      </x:c>
      <x:c r="O1" s="52" t="str">
        <x:v>workforce_proxy_people</x:v>
      </x:c>
      <x:c r="P1" s="52" t="str">
        <x:v>cold_capacity_proxy_tonnes</x:v>
      </x:c>
      <x:c r="Q1" s="52" t="str">
        <x:v>power_capacity_proxy_kw</x:v>
      </x:c>
      <x:c r="R1" s="52" t="str">
        <x:v>income_coefficient_proxy</x:v>
      </x:c>
      <x:c r="S1" s="52" t="str">
        <x:v>marginal_value_coefficient_proxy</x:v>
      </x:c>
      <x:c r="T1" s="52" t="str">
        <x:v>supply_chain_cost_coefficient_proxy</x:v>
      </x:c>
      <x:c r="U1" s="52" t="str">
        <x:v>ecological_weight_proxy</x:v>
      </x:c>
      <x:c r="V1" s="52" t="str">
        <x:v>fleet_power_coefficient_proxy</x:v>
      </x:c>
      <x:c r="W1" s="52" t="str">
        <x:v>data_status</x:v>
      </x:c>
    </x:row>
    <x:row r="2" ht="28" hidden="0" customHeight="1">
      <x:c r="A2" s="48" t="str">
        <x:v>x_r01_s1_m1</x:v>
      </x:c>
      <x:c r="B2" s="48" t="str">
        <x:v>r01</x:v>
      </x:c>
      <x:c r="C2" s="48" t="str">
        <x:v>CN-BJ</x:v>
      </x:c>
      <x:c r="D2" s="48" t="str">
        <x:v>Beijing</x:v>
      </x:c>
      <x:c r="E2" s="48" t="str">
        <x:v>北京</x:v>
      </x:c>
      <x:c r="F2" s="48" t="n">
        <x:v>1</x:v>
      </x:c>
      <x:c r="G2" s="48" t="str">
        <x:v>marine_capture</x:v>
      </x:c>
      <x:c r="H2" s="48" t="str">
        <x:v>海洋捕捞</x:v>
      </x:c>
      <x:c r="I2" s="48" t="n">
        <x:v>1</x:v>
      </x:c>
      <x:c r="J2" s="48" t="str">
        <x:v>fresh_sales</x:v>
      </x:c>
      <x:c r="K2" s="48" t="str">
        <x:v>鲜销</x:v>
      </x:c>
      <x:c r="L2" s="55" t="n">
        <x:v>438688.4038889728</x:v>
      </x:c>
      <x:c r="M2" s="54" t="n">
        <x:v>0.05515001528707826</x:v>
      </x:c>
      <x:c r="N2" s="54" t="n">
        <x:v>0.8715945197618833</x:v>
      </x:c>
      <x:c r="O2" s="55" t="n">
        <x:v>651546.1168071742</x:v>
      </x:c>
      <x:c r="P2" s="55" t="n">
        <x:v>1766056.3763646246</x:v>
      </x:c>
      <x:c r="Q2" s="55" t="n">
        <x:v>1000094.3443271765</x:v>
      </x:c>
      <x:c r="R2" s="54" t="n">
        <x:v>0.65</x:v>
      </x:c>
      <x:c r="S2" s="54" t="n">
        <x:v>0.62</x:v>
      </x:c>
      <x:c r="T2" s="54" t="n">
        <x:v>0.29</x:v>
      </x:c>
      <x:c r="U2" s="54" t="n">
        <x:v>0.28</x:v>
      </x:c>
      <x:c r="V2" s="54" t="n">
        <x:v>1</x:v>
      </x:c>
      <x:c r="W2" s="53" t="str">
        <x:v>calibrated reconstruction; not historical author input</x:v>
      </x:c>
    </x:row>
    <x:row r="3" ht="28" hidden="0" customHeight="1">
      <x:c r="A3" s="48" t="str">
        <x:v>x_r01_s1_m2</x:v>
      </x:c>
      <x:c r="B3" s="48" t="str">
        <x:v>r01</x:v>
      </x:c>
      <x:c r="C3" s="48" t="str">
        <x:v>CN-BJ</x:v>
      </x:c>
      <x:c r="D3" s="48" t="str">
        <x:v>Beijing</x:v>
      </x:c>
      <x:c r="E3" s="48" t="str">
        <x:v>北京</x:v>
      </x:c>
      <x:c r="F3" s="48" t="n">
        <x:v>1</x:v>
      </x:c>
      <x:c r="G3" s="48" t="str">
        <x:v>marine_capture</x:v>
      </x:c>
      <x:c r="H3" s="48" t="str">
        <x:v>海洋捕捞</x:v>
      </x:c>
      <x:c r="I3" s="48" t="n">
        <x:v>2</x:v>
      </x:c>
      <x:c r="J3" s="48" t="str">
        <x:v>deep_processing</x:v>
      </x:c>
      <x:c r="K3" s="48" t="str">
        <x:v>深加工</x:v>
      </x:c>
      <x:c r="L3" s="55" t="n">
        <x:v>197091.89160229216</x:v>
      </x:c>
      <x:c r="M3" s="54" t="n">
        <x:v>0.05515001528707826</x:v>
      </x:c>
      <x:c r="N3" s="54" t="n">
        <x:v>0.8715945197618833</x:v>
      </x:c>
      <x:c r="O3" s="55" t="n">
        <x:v>651546.1168071742</x:v>
      </x:c>
      <x:c r="P3" s="55" t="n">
        <x:v>1766056.3763646246</x:v>
      </x:c>
      <x:c r="Q3" s="55" t="n">
        <x:v>1000094.3443271765</x:v>
      </x:c>
      <x:c r="R3" s="54" t="n">
        <x:v>0.82</x:v>
      </x:c>
      <x:c r="S3" s="54" t="n">
        <x:v>0.95</x:v>
      </x:c>
      <x:c r="T3" s="54" t="n">
        <x:v>0.36</x:v>
      </x:c>
      <x:c r="U3" s="54" t="n">
        <x:v>0.31</x:v>
      </x:c>
      <x:c r="V3" s="54" t="n">
        <x:v>1</x:v>
      </x:c>
      <x:c r="W3" s="53" t="str">
        <x:v>calibrated reconstruction; not historical author input</x:v>
      </x:c>
    </x:row>
    <x:row r="4" ht="28" hidden="0" customHeight="1">
      <x:c r="A4" s="48" t="str">
        <x:v>x_r01_s2_m1</x:v>
      </x:c>
      <x:c r="B4" s="48" t="str">
        <x:v>r01</x:v>
      </x:c>
      <x:c r="C4" s="48" t="str">
        <x:v>CN-BJ</x:v>
      </x:c>
      <x:c r="D4" s="48" t="str">
        <x:v>Beijing</x:v>
      </x:c>
      <x:c r="E4" s="48" t="str">
        <x:v>北京</x:v>
      </x:c>
      <x:c r="F4" s="48" t="n">
        <x:v>2</x:v>
      </x:c>
      <x:c r="G4" s="48" t="str">
        <x:v>freshwater_capture</x:v>
      </x:c>
      <x:c r="H4" s="48" t="str">
        <x:v>淡水捕捞</x:v>
      </x:c>
      <x:c r="I4" s="48" t="n">
        <x:v>1</x:v>
      </x:c>
      <x:c r="J4" s="48" t="str">
        <x:v>fresh_sales</x:v>
      </x:c>
      <x:c r="K4" s="48" t="str">
        <x:v>鲜销</x:v>
      </x:c>
      <x:c r="L4" s="55" t="n">
        <x:v>159227.6428930346</x:v>
      </x:c>
      <x:c r="M4" s="54" t="n">
        <x:v>0.05515001528707826</x:v>
      </x:c>
      <x:c r="N4" s="54" t="n">
        <x:v>0.8715945197618833</x:v>
      </x:c>
      <x:c r="O4" s="55" t="n">
        <x:v>651546.1168071742</x:v>
      </x:c>
      <x:c r="P4" s="55" t="n">
        <x:v>1766056.3763646246</x:v>
      </x:c>
      <x:c r="Q4" s="55" t="n">
        <x:v>1000094.3443271765</x:v>
      </x:c>
      <x:c r="R4" s="54" t="n">
        <x:v>0.7</x:v>
      </x:c>
      <x:c r="S4" s="54" t="n">
        <x:v>0.67</x:v>
      </x:c>
      <x:c r="T4" s="54" t="n">
        <x:v>0.26</x:v>
      </x:c>
      <x:c r="U4" s="54" t="n">
        <x:v>0.42</x:v>
      </x:c>
      <x:c r="V4" s="54" t="n">
        <x:v>0.7</x:v>
      </x:c>
      <x:c r="W4" s="53" t="str">
        <x:v>calibrated reconstruction; not historical author input</x:v>
      </x:c>
    </x:row>
    <x:row r="5" ht="28" hidden="0" customHeight="1">
      <x:c r="A5" s="48" t="str">
        <x:v>x_r01_s2_m2</x:v>
      </x:c>
      <x:c r="B5" s="48" t="str">
        <x:v>r01</x:v>
      </x:c>
      <x:c r="C5" s="48" t="str">
        <x:v>CN-BJ</x:v>
      </x:c>
      <x:c r="D5" s="48" t="str">
        <x:v>Beijing</x:v>
      </x:c>
      <x:c r="E5" s="48" t="str">
        <x:v>北京</x:v>
      </x:c>
      <x:c r="F5" s="48" t="n">
        <x:v>2</x:v>
      </x:c>
      <x:c r="G5" s="48" t="str">
        <x:v>freshwater_capture</x:v>
      </x:c>
      <x:c r="H5" s="48" t="str">
        <x:v>淡水捕捞</x:v>
      </x:c>
      <x:c r="I5" s="48" t="n">
        <x:v>2</x:v>
      </x:c>
      <x:c r="J5" s="48" t="str">
        <x:v>deep_processing</x:v>
      </x:c>
      <x:c r="K5" s="48" t="str">
        <x:v>深加工</x:v>
      </x:c>
      <x:c r="L5" s="55" t="n">
        <x:v>71537.05695194307</x:v>
      </x:c>
      <x:c r="M5" s="54" t="n">
        <x:v>0.05515001528707826</x:v>
      </x:c>
      <x:c r="N5" s="54" t="n">
        <x:v>0.8715945197618833</x:v>
      </x:c>
      <x:c r="O5" s="55" t="n">
        <x:v>651546.1168071742</x:v>
      </x:c>
      <x:c r="P5" s="55" t="n">
        <x:v>1766056.3763646246</x:v>
      </x:c>
      <x:c r="Q5" s="55" t="n">
        <x:v>1000094.3443271765</x:v>
      </x:c>
      <x:c r="R5" s="54" t="n">
        <x:v>0.86</x:v>
      </x:c>
      <x:c r="S5" s="54" t="n">
        <x:v>0.99</x:v>
      </x:c>
      <x:c r="T5" s="54" t="n">
        <x:v>0.34</x:v>
      </x:c>
      <x:c r="U5" s="54" t="n">
        <x:v>0.45</x:v>
      </x:c>
      <x:c r="V5" s="54" t="n">
        <x:v>0.7</x:v>
      </x:c>
      <x:c r="W5" s="53" t="str">
        <x:v>calibrated reconstruction; not historical author input</x:v>
      </x:c>
    </x:row>
    <x:row r="6" ht="28" hidden="0" customHeight="1">
      <x:c r="A6" s="48" t="str">
        <x:v>x_r01_s3_m1</x:v>
      </x:c>
      <x:c r="B6" s="48" t="str">
        <x:v>r01</x:v>
      </x:c>
      <x:c r="C6" s="48" t="str">
        <x:v>CN-BJ</x:v>
      </x:c>
      <x:c r="D6" s="48" t="str">
        <x:v>Beijing</x:v>
      </x:c>
      <x:c r="E6" s="48" t="str">
        <x:v>北京</x:v>
      </x:c>
      <x:c r="F6" s="48" t="n">
        <x:v>3</x:v>
      </x:c>
      <x:c r="G6" s="48" t="str">
        <x:v>marine_aquaculture</x:v>
      </x:c>
      <x:c r="H6" s="48" t="str">
        <x:v>海水养殖</x:v>
      </x:c>
      <x:c r="I6" s="48" t="n">
        <x:v>1</x:v>
      </x:c>
      <x:c r="J6" s="48" t="str">
        <x:v>fresh_sales</x:v>
      </x:c>
      <x:c r="K6" s="48" t="str">
        <x:v>鲜销</x:v>
      </x:c>
      <x:c r="L6" s="55" t="n">
        <x:v>1095096.2378561764</x:v>
      </x:c>
      <x:c r="M6" s="54" t="n">
        <x:v>0.05515001528707826</x:v>
      </x:c>
      <x:c r="N6" s="54" t="n">
        <x:v>0.8715945197618833</x:v>
      </x:c>
      <x:c r="O6" s="55" t="n">
        <x:v>651546.1168071742</x:v>
      </x:c>
      <x:c r="P6" s="55" t="n">
        <x:v>1766056.3763646246</x:v>
      </x:c>
      <x:c r="Q6" s="55" t="n">
        <x:v>1000094.3443271765</x:v>
      </x:c>
      <x:c r="R6" s="54" t="n">
        <x:v>0.84</x:v>
      </x:c>
      <x:c r="S6" s="54" t="n">
        <x:v>0.8</x:v>
      </x:c>
      <x:c r="T6" s="54" t="n">
        <x:v>0.33</x:v>
      </x:c>
      <x:c r="U6" s="54" t="n">
        <x:v>0.78</x:v>
      </x:c>
      <x:c r="V6" s="54" t="n">
        <x:v>0.11</x:v>
      </x:c>
      <x:c r="W6" s="53" t="str">
        <x:v>calibrated reconstruction; not historical author input</x:v>
      </x:c>
    </x:row>
    <x:row r="7" ht="28" hidden="0" customHeight="1">
      <x:c r="A7" s="48" t="str">
        <x:v>x_r01_s3_m2</x:v>
      </x:c>
      <x:c r="B7" s="48" t="str">
        <x:v>r01</x:v>
      </x:c>
      <x:c r="C7" s="48" t="str">
        <x:v>CN-BJ</x:v>
      </x:c>
      <x:c r="D7" s="48" t="str">
        <x:v>Beijing</x:v>
      </x:c>
      <x:c r="E7" s="48" t="str">
        <x:v>北京</x:v>
      </x:c>
      <x:c r="F7" s="48" t="n">
        <x:v>3</x:v>
      </x:c>
      <x:c r="G7" s="48" t="str">
        <x:v>marine_aquaculture</x:v>
      </x:c>
      <x:c r="H7" s="48" t="str">
        <x:v>海水养殖</x:v>
      </x:c>
      <x:c r="I7" s="48" t="n">
        <x:v>2</x:v>
      </x:c>
      <x:c r="J7" s="48" t="str">
        <x:v>deep_processing</x:v>
      </x:c>
      <x:c r="K7" s="48" t="str">
        <x:v>深加工</x:v>
      </x:c>
      <x:c r="L7" s="55" t="n">
        <x:v>491999.75903683295</x:v>
      </x:c>
      <x:c r="M7" s="54" t="n">
        <x:v>0.05515001528707826</x:v>
      </x:c>
      <x:c r="N7" s="54" t="n">
        <x:v>0.8715945197618833</x:v>
      </x:c>
      <x:c r="O7" s="55" t="n">
        <x:v>651546.1168071742</x:v>
      </x:c>
      <x:c r="P7" s="55" t="n">
        <x:v>1766056.3763646246</x:v>
      </x:c>
      <x:c r="Q7" s="55" t="n">
        <x:v>1000094.3443271765</x:v>
      </x:c>
      <x:c r="R7" s="54" t="n">
        <x:v>1.02</x:v>
      </x:c>
      <x:c r="S7" s="54" t="n">
        <x:v>1.16</x:v>
      </x:c>
      <x:c r="T7" s="54" t="n">
        <x:v>0.41</x:v>
      </x:c>
      <x:c r="U7" s="54" t="n">
        <x:v>0.81</x:v>
      </x:c>
      <x:c r="V7" s="54" t="n">
        <x:v>0.11</x:v>
      </x:c>
      <x:c r="W7" s="53" t="str">
        <x:v>calibrated reconstruction; not historical author input</x:v>
      </x:c>
    </x:row>
    <x:row r="8" ht="28" hidden="0" customHeight="1">
      <x:c r="A8" s="48" t="str">
        <x:v>x_r01_s4_m1</x:v>
      </x:c>
      <x:c r="B8" s="48" t="str">
        <x:v>r01</x:v>
      </x:c>
      <x:c r="C8" s="48" t="str">
        <x:v>CN-BJ</x:v>
      </x:c>
      <x:c r="D8" s="48" t="str">
        <x:v>Beijing</x:v>
      </x:c>
      <x:c r="E8" s="48" t="str">
        <x:v>北京</x:v>
      </x:c>
      <x:c r="F8" s="48" t="n">
        <x:v>4</x:v>
      </x:c>
      <x:c r="G8" s="48" t="str">
        <x:v>freshwater_aquaculture</x:v>
      </x:c>
      <x:c r="H8" s="48" t="str">
        <x:v>淡水养殖</x:v>
      </x:c>
      <x:c r="I8" s="48" t="n">
        <x:v>1</x:v>
      </x:c>
      <x:c r="J8" s="48" t="str">
        <x:v>fresh_sales</x:v>
      </x:c>
      <x:c r="K8" s="48" t="str">
        <x:v>鲜销</x:v>
      </x:c>
      <x:c r="L8" s="55" t="n">
        <x:v>1556531.4478727258</x:v>
      </x:c>
      <x:c r="M8" s="54" t="n">
        <x:v>0.05515001528707826</x:v>
      </x:c>
      <x:c r="N8" s="54" t="n">
        <x:v>0.8715945197618833</x:v>
      </x:c>
      <x:c r="O8" s="55" t="n">
        <x:v>651546.1168071742</x:v>
      </x:c>
      <x:c r="P8" s="55" t="n">
        <x:v>1766056.3763646246</x:v>
      </x:c>
      <x:c r="Q8" s="55" t="n">
        <x:v>1000094.3443271765</x:v>
      </x:c>
      <x:c r="R8" s="54" t="n">
        <x:v>0.88</x:v>
      </x:c>
      <x:c r="S8" s="54" t="n">
        <x:v>0.84</x:v>
      </x:c>
      <x:c r="T8" s="54" t="n">
        <x:v>0.31</x:v>
      </x:c>
      <x:c r="U8" s="54" t="n">
        <x:v>0.88</x:v>
      </x:c>
      <x:c r="V8" s="54" t="n">
        <x:v>0.08</x:v>
      </x:c>
      <x:c r="W8" s="53" t="str">
        <x:v>calibrated reconstruction; not historical author input</x:v>
      </x:c>
    </x:row>
    <x:row r="9" ht="28" hidden="0" customHeight="1">
      <x:c r="A9" s="48" t="str">
        <x:v>x_r01_s4_m2</x:v>
      </x:c>
      <x:c r="B9" s="48" t="str">
        <x:v>r01</x:v>
      </x:c>
      <x:c r="C9" s="48" t="str">
        <x:v>CN-BJ</x:v>
      </x:c>
      <x:c r="D9" s="48" t="str">
        <x:v>Beijing</x:v>
      </x:c>
      <x:c r="E9" s="48" t="str">
        <x:v>北京</x:v>
      </x:c>
      <x:c r="F9" s="48" t="n">
        <x:v>4</x:v>
      </x:c>
      <x:c r="G9" s="48" t="str">
        <x:v>freshwater_aquaculture</x:v>
      </x:c>
      <x:c r="H9" s="48" t="str">
        <x:v>淡水养殖</x:v>
      </x:c>
      <x:c r="I9" s="48" t="n">
        <x:v>2</x:v>
      </x:c>
      <x:c r="J9" s="48" t="str">
        <x:v>deep_processing</x:v>
      </x:c>
      <x:c r="K9" s="48" t="str">
        <x:v>深加工</x:v>
      </x:c>
      <x:c r="L9" s="55" t="n">
        <x:v>699311.2302036885</x:v>
      </x:c>
      <x:c r="M9" s="54" t="n">
        <x:v>0.05515001528707826</x:v>
      </x:c>
      <x:c r="N9" s="54" t="n">
        <x:v>0.8715945197618833</x:v>
      </x:c>
      <x:c r="O9" s="55" t="n">
        <x:v>651546.1168071742</x:v>
      </x:c>
      <x:c r="P9" s="55" t="n">
        <x:v>1766056.3763646246</x:v>
      </x:c>
      <x:c r="Q9" s="55" t="n">
        <x:v>1000094.3443271765</x:v>
      </x:c>
      <x:c r="R9" s="54" t="n">
        <x:v>1.06</x:v>
      </x:c>
      <x:c r="S9" s="54" t="n">
        <x:v>1.2</x:v>
      </x:c>
      <x:c r="T9" s="54" t="n">
        <x:v>0.39</x:v>
      </x:c>
      <x:c r="U9" s="54" t="n">
        <x:v>0.91</x:v>
      </x:c>
      <x:c r="V9" s="54" t="n">
        <x:v>0.08</x:v>
      </x:c>
      <x:c r="W9" s="53" t="str">
        <x:v>calibrated reconstruction; not historical author input</x:v>
      </x:c>
    </x:row>
    <x:row r="10" ht="28" hidden="0" customHeight="1">
      <x:c r="A10" s="48" t="str">
        <x:v>x_r02_s1_m1</x:v>
      </x:c>
      <x:c r="B10" s="48" t="str">
        <x:v>r02</x:v>
      </x:c>
      <x:c r="C10" s="48" t="str">
        <x:v>CN-TJ</x:v>
      </x:c>
      <x:c r="D10" s="48" t="str">
        <x:v>Tianjin</x:v>
      </x:c>
      <x:c r="E10" s="48" t="str">
        <x:v>天津</x:v>
      </x:c>
      <x:c r="F10" s="48" t="n">
        <x:v>1</x:v>
      </x:c>
      <x:c r="G10" s="48" t="str">
        <x:v>marine_capture</x:v>
      </x:c>
      <x:c r="H10" s="48" t="str">
        <x:v>海洋捕捞</x:v>
      </x:c>
      <x:c r="I10" s="48" t="n">
        <x:v>1</x:v>
      </x:c>
      <x:c r="J10" s="48" t="str">
        <x:v>fresh_sales</x:v>
      </x:c>
      <x:c r="K10" s="48" t="str">
        <x:v>鲜销</x:v>
      </x:c>
      <x:c r="L10" s="55" t="n">
        <x:v>420520.6110979206</x:v>
      </x:c>
      <x:c r="M10" s="54" t="n">
        <x:v>0.05286603868483239</x:v>
      </x:c>
      <x:c r="N10" s="54" t="n">
        <x:v>0.902636967927048</x:v>
      </x:c>
      <x:c r="O10" s="55" t="n">
        <x:v>571268.8543976147</x:v>
      </x:c>
      <x:c r="P10" s="55" t="n">
        <x:v>1657742.0583315326</x:v>
      </x:c>
      <x:c r="Q10" s="55" t="n">
        <x:v>1063574.816291669</x:v>
      </x:c>
      <x:c r="R10" s="54" t="n">
        <x:v>0.65</x:v>
      </x:c>
      <x:c r="S10" s="54" t="n">
        <x:v>0.62</x:v>
      </x:c>
      <x:c r="T10" s="54" t="n">
        <x:v>0.29</x:v>
      </x:c>
      <x:c r="U10" s="54" t="n">
        <x:v>0.28</x:v>
      </x:c>
      <x:c r="V10" s="54" t="n">
        <x:v>1</x:v>
      </x:c>
      <x:c r="W10" s="53" t="str">
        <x:v>calibrated reconstruction; not historical author input</x:v>
      </x:c>
    </x:row>
    <x:row r="11" ht="28" hidden="0" customHeight="1">
      <x:c r="A11" s="48" t="str">
        <x:v>x_r02_s1_m2</x:v>
      </x:c>
      <x:c r="B11" s="48" t="str">
        <x:v>r02</x:v>
      </x:c>
      <x:c r="C11" s="48" t="str">
        <x:v>CN-TJ</x:v>
      </x:c>
      <x:c r="D11" s="48" t="str">
        <x:v>Tianjin</x:v>
      </x:c>
      <x:c r="E11" s="48" t="str">
        <x:v>天津</x:v>
      </x:c>
      <x:c r="F11" s="48" t="n">
        <x:v>1</x:v>
      </x:c>
      <x:c r="G11" s="48" t="str">
        <x:v>marine_capture</x:v>
      </x:c>
      <x:c r="H11" s="48" t="str">
        <x:v>海洋捕捞</x:v>
      </x:c>
      <x:c r="I11" s="48" t="n">
        <x:v>2</x:v>
      </x:c>
      <x:c r="J11" s="48" t="str">
        <x:v>deep_processing</x:v>
      </x:c>
      <x:c r="K11" s="48" t="str">
        <x:v>深加工</x:v>
      </x:c>
      <x:c r="L11" s="55" t="n">
        <x:v>188929.54991355856</x:v>
      </x:c>
      <x:c r="M11" s="54" t="n">
        <x:v>0.05286603868483239</x:v>
      </x:c>
      <x:c r="N11" s="54" t="n">
        <x:v>0.902636967927048</x:v>
      </x:c>
      <x:c r="O11" s="55" t="n">
        <x:v>571268.8543976147</x:v>
      </x:c>
      <x:c r="P11" s="55" t="n">
        <x:v>1657742.0583315326</x:v>
      </x:c>
      <x:c r="Q11" s="55" t="n">
        <x:v>1063574.816291669</x:v>
      </x:c>
      <x:c r="R11" s="54" t="n">
        <x:v>0.82</x:v>
      </x:c>
      <x:c r="S11" s="54" t="n">
        <x:v>0.95</x:v>
      </x:c>
      <x:c r="T11" s="54" t="n">
        <x:v>0.36</x:v>
      </x:c>
      <x:c r="U11" s="54" t="n">
        <x:v>0.31</x:v>
      </x:c>
      <x:c r="V11" s="54" t="n">
        <x:v>1</x:v>
      </x:c>
      <x:c r="W11" s="53" t="str">
        <x:v>calibrated reconstruction; not historical author input</x:v>
      </x:c>
    </x:row>
    <x:row r="12" ht="28" hidden="0" customHeight="1">
      <x:c r="A12" s="48" t="str">
        <x:v>x_r02_s2_m1</x:v>
      </x:c>
      <x:c r="B12" s="48" t="str">
        <x:v>r02</x:v>
      </x:c>
      <x:c r="C12" s="48" t="str">
        <x:v>CN-TJ</x:v>
      </x:c>
      <x:c r="D12" s="48" t="str">
        <x:v>Tianjin</x:v>
      </x:c>
      <x:c r="E12" s="48" t="str">
        <x:v>天津</x:v>
      </x:c>
      <x:c r="F12" s="48" t="n">
        <x:v>2</x:v>
      </x:c>
      <x:c r="G12" s="48" t="str">
        <x:v>freshwater_capture</x:v>
      </x:c>
      <x:c r="H12" s="48" t="str">
        <x:v>淡水捕捞</x:v>
      </x:c>
      <x:c r="I12" s="48" t="n">
        <x:v>1</x:v>
      </x:c>
      <x:c r="J12" s="48" t="str">
        <x:v>fresh_sales</x:v>
      </x:c>
      <x:c r="K12" s="48" t="str">
        <x:v>鲜销</x:v>
      </x:c>
      <x:c r="L12" s="55" t="n">
        <x:v>152633.40699109712</x:v>
      </x:c>
      <x:c r="M12" s="54" t="n">
        <x:v>0.05286603868483239</x:v>
      </x:c>
      <x:c r="N12" s="54" t="n">
        <x:v>0.902636967927048</x:v>
      </x:c>
      <x:c r="O12" s="55" t="n">
        <x:v>571268.8543976147</x:v>
      </x:c>
      <x:c r="P12" s="55" t="n">
        <x:v>1657742.0583315326</x:v>
      </x:c>
      <x:c r="Q12" s="55" t="n">
        <x:v>1063574.816291669</x:v>
      </x:c>
      <x:c r="R12" s="54" t="n">
        <x:v>0.7</x:v>
      </x:c>
      <x:c r="S12" s="54" t="n">
        <x:v>0.67</x:v>
      </x:c>
      <x:c r="T12" s="54" t="n">
        <x:v>0.26</x:v>
      </x:c>
      <x:c r="U12" s="54" t="n">
        <x:v>0.42</x:v>
      </x:c>
      <x:c r="V12" s="54" t="n">
        <x:v>0.7</x:v>
      </x:c>
      <x:c r="W12" s="53" t="str">
        <x:v>calibrated reconstruction; not historical author input</x:v>
      </x:c>
    </x:row>
    <x:row r="13" ht="28" hidden="0" customHeight="1">
      <x:c r="A13" s="48" t="str">
        <x:v>x_r02_s2_m2</x:v>
      </x:c>
      <x:c r="B13" s="48" t="str">
        <x:v>r02</x:v>
      </x:c>
      <x:c r="C13" s="48" t="str">
        <x:v>CN-TJ</x:v>
      </x:c>
      <x:c r="D13" s="48" t="str">
        <x:v>Tianjin</x:v>
      </x:c>
      <x:c r="E13" s="48" t="str">
        <x:v>天津</x:v>
      </x:c>
      <x:c r="F13" s="48" t="n">
        <x:v>2</x:v>
      </x:c>
      <x:c r="G13" s="48" t="str">
        <x:v>freshwater_capture</x:v>
      </x:c>
      <x:c r="H13" s="48" t="str">
        <x:v>淡水捕捞</x:v>
      </x:c>
      <x:c r="I13" s="48" t="n">
        <x:v>2</x:v>
      </x:c>
      <x:c r="J13" s="48" t="str">
        <x:v>deep_processing</x:v>
      </x:c>
      <x:c r="K13" s="48" t="str">
        <x:v>深加工</x:v>
      </x:c>
      <x:c r="L13" s="55" t="n">
        <x:v>68574.42922788422</x:v>
      </x:c>
      <x:c r="M13" s="54" t="n">
        <x:v>0.05286603868483239</x:v>
      </x:c>
      <x:c r="N13" s="54" t="n">
        <x:v>0.902636967927048</x:v>
      </x:c>
      <x:c r="O13" s="55" t="n">
        <x:v>571268.8543976147</x:v>
      </x:c>
      <x:c r="P13" s="55" t="n">
        <x:v>1657742.0583315326</x:v>
      </x:c>
      <x:c r="Q13" s="55" t="n">
        <x:v>1063574.816291669</x:v>
      </x:c>
      <x:c r="R13" s="54" t="n">
        <x:v>0.86</x:v>
      </x:c>
      <x:c r="S13" s="54" t="n">
        <x:v>0.99</x:v>
      </x:c>
      <x:c r="T13" s="54" t="n">
        <x:v>0.34</x:v>
      </x:c>
      <x:c r="U13" s="54" t="n">
        <x:v>0.45</x:v>
      </x:c>
      <x:c r="V13" s="54" t="n">
        <x:v>0.7</x:v>
      </x:c>
      <x:c r="W13" s="53" t="str">
        <x:v>calibrated reconstruction; not historical author input</x:v>
      </x:c>
    </x:row>
    <x:row r="14" ht="28" hidden="0" customHeight="1">
      <x:c r="A14" s="48" t="str">
        <x:v>x_r02_s3_m1</x:v>
      </x:c>
      <x:c r="B14" s="48" t="str">
        <x:v>r02</x:v>
      </x:c>
      <x:c r="C14" s="48" t="str">
        <x:v>CN-TJ</x:v>
      </x:c>
      <x:c r="D14" s="48" t="str">
        <x:v>Tianjin</x:v>
      </x:c>
      <x:c r="E14" s="48" t="str">
        <x:v>天津</x:v>
      </x:c>
      <x:c r="F14" s="48" t="n">
        <x:v>3</x:v>
      </x:c>
      <x:c r="G14" s="48" t="str">
        <x:v>marine_aquaculture</x:v>
      </x:c>
      <x:c r="H14" s="48" t="str">
        <x:v>海水养殖</x:v>
      </x:c>
      <x:c r="I14" s="48" t="n">
        <x:v>1</x:v>
      </x:c>
      <x:c r="J14" s="48" t="str">
        <x:v>fresh_sales</x:v>
      </x:c>
      <x:c r="K14" s="48" t="str">
        <x:v>鲜销</x:v>
      </x:c>
      <x:c r="L14" s="55" t="n">
        <x:v>1049744.0439999944</x:v>
      </x:c>
      <x:c r="M14" s="54" t="n">
        <x:v>0.05286603868483239</x:v>
      </x:c>
      <x:c r="N14" s="54" t="n">
        <x:v>0.902636967927048</x:v>
      </x:c>
      <x:c r="O14" s="55" t="n">
        <x:v>571268.8543976147</x:v>
      </x:c>
      <x:c r="P14" s="55" t="n">
        <x:v>1657742.0583315326</x:v>
      </x:c>
      <x:c r="Q14" s="55" t="n">
        <x:v>1063574.816291669</x:v>
      </x:c>
      <x:c r="R14" s="54" t="n">
        <x:v>0.84</x:v>
      </x:c>
      <x:c r="S14" s="54" t="n">
        <x:v>0.8</x:v>
      </x:c>
      <x:c r="T14" s="54" t="n">
        <x:v>0.33</x:v>
      </x:c>
      <x:c r="U14" s="54" t="n">
        <x:v>0.78</x:v>
      </x:c>
      <x:c r="V14" s="54" t="n">
        <x:v>0.11</x:v>
      </x:c>
      <x:c r="W14" s="53" t="str">
        <x:v>calibrated reconstruction; not historical author input</x:v>
      </x:c>
    </x:row>
    <x:row r="15" ht="28" hidden="0" customHeight="1">
      <x:c r="A15" s="48" t="str">
        <x:v>x_r02_s3_m2</x:v>
      </x:c>
      <x:c r="B15" s="48" t="str">
        <x:v>r02</x:v>
      </x:c>
      <x:c r="C15" s="48" t="str">
        <x:v>CN-TJ</x:v>
      </x:c>
      <x:c r="D15" s="48" t="str">
        <x:v>Tianjin</x:v>
      </x:c>
      <x:c r="E15" s="48" t="str">
        <x:v>天津</x:v>
      </x:c>
      <x:c r="F15" s="48" t="n">
        <x:v>3</x:v>
      </x:c>
      <x:c r="G15" s="48" t="str">
        <x:v>marine_aquaculture</x:v>
      </x:c>
      <x:c r="H15" s="48" t="str">
        <x:v>海水养殖</x:v>
      </x:c>
      <x:c r="I15" s="48" t="n">
        <x:v>2</x:v>
      </x:c>
      <x:c r="J15" s="48" t="str">
        <x:v>deep_processing</x:v>
      </x:c>
      <x:c r="K15" s="48" t="str">
        <x:v>深加工</x:v>
      </x:c>
      <x:c r="L15" s="55" t="n">
        <x:v>471624.13571014244</x:v>
      </x:c>
      <x:c r="M15" s="54" t="n">
        <x:v>0.05286603868483239</x:v>
      </x:c>
      <x:c r="N15" s="54" t="n">
        <x:v>0.902636967927048</x:v>
      </x:c>
      <x:c r="O15" s="55" t="n">
        <x:v>571268.8543976147</x:v>
      </x:c>
      <x:c r="P15" s="55" t="n">
        <x:v>1657742.0583315326</x:v>
      </x:c>
      <x:c r="Q15" s="55" t="n">
        <x:v>1063574.816291669</x:v>
      </x:c>
      <x:c r="R15" s="54" t="n">
        <x:v>1.02</x:v>
      </x:c>
      <x:c r="S15" s="54" t="n">
        <x:v>1.16</x:v>
      </x:c>
      <x:c r="T15" s="54" t="n">
        <x:v>0.41</x:v>
      </x:c>
      <x:c r="U15" s="54" t="n">
        <x:v>0.81</x:v>
      </x:c>
      <x:c r="V15" s="54" t="n">
        <x:v>0.11</x:v>
      </x:c>
      <x:c r="W15" s="53" t="str">
        <x:v>calibrated reconstruction; not historical author input</x:v>
      </x:c>
    </x:row>
    <x:row r="16" ht="28" hidden="0" customHeight="1">
      <x:c r="A16" s="48" t="str">
        <x:v>x_r02_s4_m1</x:v>
      </x:c>
      <x:c r="B16" s="48" t="str">
        <x:v>r02</x:v>
      </x:c>
      <x:c r="C16" s="48" t="str">
        <x:v>CN-TJ</x:v>
      </x:c>
      <x:c r="D16" s="48" t="str">
        <x:v>Tianjin</x:v>
      </x:c>
      <x:c r="E16" s="48" t="str">
        <x:v>天津</x:v>
      </x:c>
      <x:c r="F16" s="48" t="n">
        <x:v>4</x:v>
      </x:c>
      <x:c r="G16" s="48" t="str">
        <x:v>freshwater_aquaculture</x:v>
      </x:c>
      <x:c r="H16" s="48" t="str">
        <x:v>淡水养殖</x:v>
      </x:c>
      <x:c r="I16" s="48" t="n">
        <x:v>1</x:v>
      </x:c>
      <x:c r="J16" s="48" t="str">
        <x:v>fresh_sales</x:v>
      </x:c>
      <x:c r="K16" s="48" t="str">
        <x:v>鲜销</x:v>
      </x:c>
      <x:c r="L16" s="55" t="n">
        <x:v>1492069.4275252146</x:v>
      </x:c>
      <x:c r="M16" s="54" t="n">
        <x:v>0.05286603868483239</x:v>
      </x:c>
      <x:c r="N16" s="54" t="n">
        <x:v>0.902636967927048</x:v>
      </x:c>
      <x:c r="O16" s="55" t="n">
        <x:v>571268.8543976147</x:v>
      </x:c>
      <x:c r="P16" s="55" t="n">
        <x:v>1657742.0583315326</x:v>
      </x:c>
      <x:c r="Q16" s="55" t="n">
        <x:v>1063574.816291669</x:v>
      </x:c>
      <x:c r="R16" s="54" t="n">
        <x:v>0.88</x:v>
      </x:c>
      <x:c r="S16" s="54" t="n">
        <x:v>0.84</x:v>
      </x:c>
      <x:c r="T16" s="54" t="n">
        <x:v>0.31</x:v>
      </x:c>
      <x:c r="U16" s="54" t="n">
        <x:v>0.88</x:v>
      </x:c>
      <x:c r="V16" s="54" t="n">
        <x:v>0.08</x:v>
      </x:c>
      <x:c r="W16" s="53" t="str">
        <x:v>calibrated reconstruction; not historical author input</x:v>
      </x:c>
    </x:row>
    <x:row r="17" ht="28" hidden="0" customHeight="1">
      <x:c r="A17" s="48" t="str">
        <x:v>x_r02_s4_m2</x:v>
      </x:c>
      <x:c r="B17" s="48" t="str">
        <x:v>r02</x:v>
      </x:c>
      <x:c r="C17" s="48" t="str">
        <x:v>CN-TJ</x:v>
      </x:c>
      <x:c r="D17" s="48" t="str">
        <x:v>Tianjin</x:v>
      </x:c>
      <x:c r="E17" s="48" t="str">
        <x:v>天津</x:v>
      </x:c>
      <x:c r="F17" s="48" t="n">
        <x:v>4</x:v>
      </x:c>
      <x:c r="G17" s="48" t="str">
        <x:v>freshwater_aquaculture</x:v>
      </x:c>
      <x:c r="H17" s="48" t="str">
        <x:v>淡水养殖</x:v>
      </x:c>
      <x:c r="I17" s="48" t="n">
        <x:v>2</x:v>
      </x:c>
      <x:c r="J17" s="48" t="str">
        <x:v>deep_processing</x:v>
      </x:c>
      <x:c r="K17" s="48" t="str">
        <x:v>深加工</x:v>
      </x:c>
      <x:c r="L17" s="55" t="n">
        <x:v>670350.0326562559</x:v>
      </x:c>
      <x:c r="M17" s="54" t="n">
        <x:v>0.05286603868483239</x:v>
      </x:c>
      <x:c r="N17" s="54" t="n">
        <x:v>0.902636967927048</x:v>
      </x:c>
      <x:c r="O17" s="55" t="n">
        <x:v>571268.8543976147</x:v>
      </x:c>
      <x:c r="P17" s="55" t="n">
        <x:v>1657742.0583315326</x:v>
      </x:c>
      <x:c r="Q17" s="55" t="n">
        <x:v>1063574.816291669</x:v>
      </x:c>
      <x:c r="R17" s="54" t="n">
        <x:v>1.06</x:v>
      </x:c>
      <x:c r="S17" s="54" t="n">
        <x:v>1.2</x:v>
      </x:c>
      <x:c r="T17" s="54" t="n">
        <x:v>0.39</x:v>
      </x:c>
      <x:c r="U17" s="54" t="n">
        <x:v>0.91</x:v>
      </x:c>
      <x:c r="V17" s="54" t="n">
        <x:v>0.08</x:v>
      </x:c>
      <x:c r="W17" s="53" t="str">
        <x:v>calibrated reconstruction; not historical author input</x:v>
      </x:c>
    </x:row>
    <x:row r="18" ht="28" hidden="0" customHeight="1">
      <x:c r="A18" s="48" t="str">
        <x:v>x_r03_s1_m1</x:v>
      </x:c>
      <x:c r="B18" s="48" t="str">
        <x:v>r03</x:v>
      </x:c>
      <x:c r="C18" s="48" t="str">
        <x:v>CN-HE</x:v>
      </x:c>
      <x:c r="D18" s="48" t="str">
        <x:v>Hebei</x:v>
      </x:c>
      <x:c r="E18" s="48" t="str">
        <x:v>河北</x:v>
      </x:c>
      <x:c r="F18" s="48" t="n">
        <x:v>1</x:v>
      </x:c>
      <x:c r="G18" s="48" t="str">
        <x:v>marine_capture</x:v>
      </x:c>
      <x:c r="H18" s="48" t="str">
        <x:v>海洋捕捞</x:v>
      </x:c>
      <x:c r="I18" s="48" t="n">
        <x:v>1</x:v>
      </x:c>
      <x:c r="J18" s="48" t="str">
        <x:v>fresh_sales</x:v>
      </x:c>
      <x:c r="K18" s="48" t="str">
        <x:v>鲜销</x:v>
      </x:c>
      <x:c r="L18" s="55" t="n">
        <x:v>332796.3465718703</x:v>
      </x:c>
      <x:c r="M18" s="54" t="n">
        <x:v>0.041837722260758846</x:v>
      </x:c>
      <x:c r="N18" s="54" t="n">
        <x:v>0.9125215100681507</x:v>
      </x:c>
      <x:c r="O18" s="55" t="n">
        <x:v>426671.9840904591</x:v>
      </x:c>
      <x:c r="P18" s="55" t="n">
        <x:v>1284085.3844734987</x:v>
      </x:c>
      <x:c r="Q18" s="55" t="n">
        <x:v>747768.0110176979</x:v>
      </x:c>
      <x:c r="R18" s="54" t="n">
        <x:v>0.65</x:v>
      </x:c>
      <x:c r="S18" s="54" t="n">
        <x:v>0.62</x:v>
      </x:c>
      <x:c r="T18" s="54" t="n">
        <x:v>0.29</x:v>
      </x:c>
      <x:c r="U18" s="54" t="n">
        <x:v>0.28</x:v>
      </x:c>
      <x:c r="V18" s="54" t="n">
        <x:v>1</x:v>
      </x:c>
      <x:c r="W18" s="53" t="str">
        <x:v>calibrated reconstruction; not historical author input</x:v>
      </x:c>
    </x:row>
    <x:row r="19" ht="28" hidden="0" customHeight="1">
      <x:c r="A19" s="48" t="str">
        <x:v>x_r03_s1_m2</x:v>
      </x:c>
      <x:c r="B19" s="48" t="str">
        <x:v>r03</x:v>
      </x:c>
      <x:c r="C19" s="48" t="str">
        <x:v>CN-HE</x:v>
      </x:c>
      <x:c r="D19" s="48" t="str">
        <x:v>Hebei</x:v>
      </x:c>
      <x:c r="E19" s="48" t="str">
        <x:v>河北</x:v>
      </x:c>
      <x:c r="F19" s="48" t="n">
        <x:v>1</x:v>
      </x:c>
      <x:c r="G19" s="48" t="str">
        <x:v>marine_capture</x:v>
      </x:c>
      <x:c r="H19" s="48" t="str">
        <x:v>海洋捕捞</x:v>
      </x:c>
      <x:c r="I19" s="48" t="n">
        <x:v>2</x:v>
      </x:c>
      <x:c r="J19" s="48" t="str">
        <x:v>deep_processing</x:v>
      </x:c>
      <x:c r="K19" s="48" t="str">
        <x:v>深加工</x:v>
      </x:c>
      <x:c r="L19" s="55" t="n">
        <x:v>149517.1991844635</x:v>
      </x:c>
      <x:c r="M19" s="54" t="n">
        <x:v>0.041837722260758846</x:v>
      </x:c>
      <x:c r="N19" s="54" t="n">
        <x:v>0.9125215100681507</x:v>
      </x:c>
      <x:c r="O19" s="55" t="n">
        <x:v>426671.9840904591</x:v>
      </x:c>
      <x:c r="P19" s="55" t="n">
        <x:v>1284085.3844734987</x:v>
      </x:c>
      <x:c r="Q19" s="55" t="n">
        <x:v>747768.0110176979</x:v>
      </x:c>
      <x:c r="R19" s="54" t="n">
        <x:v>0.82</x:v>
      </x:c>
      <x:c r="S19" s="54" t="n">
        <x:v>0.95</x:v>
      </x:c>
      <x:c r="T19" s="54" t="n">
        <x:v>0.36</x:v>
      </x:c>
      <x:c r="U19" s="54" t="n">
        <x:v>0.31</x:v>
      </x:c>
      <x:c r="V19" s="54" t="n">
        <x:v>1</x:v>
      </x:c>
      <x:c r="W19" s="53" t="str">
        <x:v>calibrated reconstruction; not historical author input</x:v>
      </x:c>
    </x:row>
    <x:row r="20" ht="28" hidden="0" customHeight="1">
      <x:c r="A20" s="48" t="str">
        <x:v>x_r03_s2_m1</x:v>
      </x:c>
      <x:c r="B20" s="48" t="str">
        <x:v>r03</x:v>
      </x:c>
      <x:c r="C20" s="48" t="str">
        <x:v>CN-HE</x:v>
      </x:c>
      <x:c r="D20" s="48" t="str">
        <x:v>Hebei</x:v>
      </x:c>
      <x:c r="E20" s="48" t="str">
        <x:v>河北</x:v>
      </x:c>
      <x:c r="F20" s="48" t="n">
        <x:v>2</x:v>
      </x:c>
      <x:c r="G20" s="48" t="str">
        <x:v>freshwater_capture</x:v>
      </x:c>
      <x:c r="H20" s="48" t="str">
        <x:v>淡水捕捞</x:v>
      </x:c>
      <x:c r="I20" s="48" t="n">
        <x:v>1</x:v>
      </x:c>
      <x:c r="J20" s="48" t="str">
        <x:v>fresh_sales</x:v>
      </x:c>
      <x:c r="K20" s="48" t="str">
        <x:v>鲜销</x:v>
      </x:c>
      <x:c r="L20" s="55" t="n">
        <x:v>120792.74801497516</x:v>
      </x:c>
      <x:c r="M20" s="54" t="n">
        <x:v>0.041837722260758846</x:v>
      </x:c>
      <x:c r="N20" s="54" t="n">
        <x:v>0.9125215100681507</x:v>
      </x:c>
      <x:c r="O20" s="55" t="n">
        <x:v>426671.9840904591</x:v>
      </x:c>
      <x:c r="P20" s="55" t="n">
        <x:v>1284085.3844734987</x:v>
      </x:c>
      <x:c r="Q20" s="55" t="n">
        <x:v>747768.0110176979</x:v>
      </x:c>
      <x:c r="R20" s="54" t="n">
        <x:v>0.7</x:v>
      </x:c>
      <x:c r="S20" s="54" t="n">
        <x:v>0.67</x:v>
      </x:c>
      <x:c r="T20" s="54" t="n">
        <x:v>0.26</x:v>
      </x:c>
      <x:c r="U20" s="54" t="n">
        <x:v>0.42</x:v>
      </x:c>
      <x:c r="V20" s="54" t="n">
        <x:v>0.7</x:v>
      </x:c>
      <x:c r="W20" s="53" t="str">
        <x:v>calibrated reconstruction; not historical author input</x:v>
      </x:c>
    </x:row>
    <x:row r="21" ht="28" hidden="0" customHeight="1">
      <x:c r="A21" s="48" t="str">
        <x:v>x_r03_s2_m2</x:v>
      </x:c>
      <x:c r="B21" s="48" t="str">
        <x:v>r03</x:v>
      </x:c>
      <x:c r="C21" s="48" t="str">
        <x:v>CN-HE</x:v>
      </x:c>
      <x:c r="D21" s="48" t="str">
        <x:v>Hebei</x:v>
      </x:c>
      <x:c r="E21" s="48" t="str">
        <x:v>河北</x:v>
      </x:c>
      <x:c r="F21" s="48" t="n">
        <x:v>2</x:v>
      </x:c>
      <x:c r="G21" s="48" t="str">
        <x:v>freshwater_capture</x:v>
      </x:c>
      <x:c r="H21" s="48" t="str">
        <x:v>淡水捕捞</x:v>
      </x:c>
      <x:c r="I21" s="48" t="n">
        <x:v>2</x:v>
      </x:c>
      <x:c r="J21" s="48" t="str">
        <x:v>deep_processing</x:v>
      </x:c>
      <x:c r="K21" s="48" t="str">
        <x:v>深加工</x:v>
      </x:c>
      <x:c r="L21" s="55" t="n">
        <x:v>54269.20562991638</x:v>
      </x:c>
      <x:c r="M21" s="54" t="n">
        <x:v>0.041837722260758846</x:v>
      </x:c>
      <x:c r="N21" s="54" t="n">
        <x:v>0.9125215100681507</x:v>
      </x:c>
      <x:c r="O21" s="55" t="n">
        <x:v>426671.9840904591</x:v>
      </x:c>
      <x:c r="P21" s="55" t="n">
        <x:v>1284085.3844734987</x:v>
      </x:c>
      <x:c r="Q21" s="55" t="n">
        <x:v>747768.0110176979</x:v>
      </x:c>
      <x:c r="R21" s="54" t="n">
        <x:v>0.86</x:v>
      </x:c>
      <x:c r="S21" s="54" t="n">
        <x:v>0.99</x:v>
      </x:c>
      <x:c r="T21" s="54" t="n">
        <x:v>0.34</x:v>
      </x:c>
      <x:c r="U21" s="54" t="n">
        <x:v>0.45</x:v>
      </x:c>
      <x:c r="V21" s="54" t="n">
        <x:v>0.7</x:v>
      </x:c>
      <x:c r="W21" s="53" t="str">
        <x:v>calibrated reconstruction; not historical author input</x:v>
      </x:c>
    </x:row>
    <x:row r="22" ht="28" hidden="0" customHeight="1">
      <x:c r="A22" s="48" t="str">
        <x:v>x_r03_s3_m1</x:v>
      </x:c>
      <x:c r="B22" s="48" t="str">
        <x:v>r03</x:v>
      </x:c>
      <x:c r="C22" s="48" t="str">
        <x:v>CN-HE</x:v>
      </x:c>
      <x:c r="D22" s="48" t="str">
        <x:v>Hebei</x:v>
      </x:c>
      <x:c r="E22" s="48" t="str">
        <x:v>河北</x:v>
      </x:c>
      <x:c r="F22" s="48" t="n">
        <x:v>3</x:v>
      </x:c>
      <x:c r="G22" s="48" t="str">
        <x:v>marine_aquaculture</x:v>
      </x:c>
      <x:c r="H22" s="48" t="str">
        <x:v>海水养殖</x:v>
      </x:c>
      <x:c r="I22" s="48" t="n">
        <x:v>1</x:v>
      </x:c>
      <x:c r="J22" s="48" t="str">
        <x:v>fresh_sales</x:v>
      </x:c>
      <x:c r="K22" s="48" t="str">
        <x:v>鲜销</x:v>
      </x:c>
      <x:c r="L22" s="55" t="n">
        <x:v>830758.2873682985</x:v>
      </x:c>
      <x:c r="M22" s="54" t="n">
        <x:v>0.041837722260758846</x:v>
      </x:c>
      <x:c r="N22" s="54" t="n">
        <x:v>0.9125215100681507</x:v>
      </x:c>
      <x:c r="O22" s="55" t="n">
        <x:v>426671.9840904591</x:v>
      </x:c>
      <x:c r="P22" s="55" t="n">
        <x:v>1284085.3844734987</x:v>
      </x:c>
      <x:c r="Q22" s="55" t="n">
        <x:v>747768.0110176979</x:v>
      </x:c>
      <x:c r="R22" s="54" t="n">
        <x:v>0.84</x:v>
      </x:c>
      <x:c r="S22" s="54" t="n">
        <x:v>0.8</x:v>
      </x:c>
      <x:c r="T22" s="54" t="n">
        <x:v>0.33</x:v>
      </x:c>
      <x:c r="U22" s="54" t="n">
        <x:v>0.78</x:v>
      </x:c>
      <x:c r="V22" s="54" t="n">
        <x:v>0.11</x:v>
      </x:c>
      <x:c r="W22" s="53" t="str">
        <x:v>calibrated reconstruction; not historical author input</x:v>
      </x:c>
    </x:row>
    <x:row r="23" ht="28" hidden="0" customHeight="1">
      <x:c r="A23" s="48" t="str">
        <x:v>x_r03_s3_m2</x:v>
      </x:c>
      <x:c r="B23" s="48" t="str">
        <x:v>r03</x:v>
      </x:c>
      <x:c r="C23" s="48" t="str">
        <x:v>CN-HE</x:v>
      </x:c>
      <x:c r="D23" s="48" t="str">
        <x:v>Hebei</x:v>
      </x:c>
      <x:c r="E23" s="48" t="str">
        <x:v>河北</x:v>
      </x:c>
      <x:c r="F23" s="48" t="n">
        <x:v>3</x:v>
      </x:c>
      <x:c r="G23" s="48" t="str">
        <x:v>marine_aquaculture</x:v>
      </x:c>
      <x:c r="H23" s="48" t="str">
        <x:v>海水养殖</x:v>
      </x:c>
      <x:c r="I23" s="48" t="n">
        <x:v>2</x:v>
      </x:c>
      <x:c r="J23" s="48" t="str">
        <x:v>deep_processing</x:v>
      </x:c>
      <x:c r="K23" s="48" t="str">
        <x:v>深加工</x:v>
      </x:c>
      <x:c r="L23" s="55" t="n">
        <x:v>373239.2305567718</x:v>
      </x:c>
      <x:c r="M23" s="54" t="n">
        <x:v>0.041837722260758846</x:v>
      </x:c>
      <x:c r="N23" s="54" t="n">
        <x:v>0.9125215100681507</x:v>
      </x:c>
      <x:c r="O23" s="55" t="n">
        <x:v>426671.9840904591</x:v>
      </x:c>
      <x:c r="P23" s="55" t="n">
        <x:v>1284085.3844734987</x:v>
      </x:c>
      <x:c r="Q23" s="55" t="n">
        <x:v>747768.0110176979</x:v>
      </x:c>
      <x:c r="R23" s="54" t="n">
        <x:v>1.02</x:v>
      </x:c>
      <x:c r="S23" s="54" t="n">
        <x:v>1.16</x:v>
      </x:c>
      <x:c r="T23" s="54" t="n">
        <x:v>0.41</x:v>
      </x:c>
      <x:c r="U23" s="54" t="n">
        <x:v>0.81</x:v>
      </x:c>
      <x:c r="V23" s="54" t="n">
        <x:v>0.11</x:v>
      </x:c>
      <x:c r="W23" s="53" t="str">
        <x:v>calibrated reconstruction; not historical author input</x:v>
      </x:c>
    </x:row>
    <x:row r="24" ht="28" hidden="0" customHeight="1">
      <x:c r="A24" s="48" t="str">
        <x:v>x_r03_s4_m1</x:v>
      </x:c>
      <x:c r="B24" s="48" t="str">
        <x:v>r03</x:v>
      </x:c>
      <x:c r="C24" s="48" t="str">
        <x:v>CN-HE</x:v>
      </x:c>
      <x:c r="D24" s="48" t="str">
        <x:v>Hebei</x:v>
      </x:c>
      <x:c r="E24" s="48" t="str">
        <x:v>河北</x:v>
      </x:c>
      <x:c r="F24" s="48" t="n">
        <x:v>4</x:v>
      </x:c>
      <x:c r="G24" s="48" t="str">
        <x:v>freshwater_aquaculture</x:v>
      </x:c>
      <x:c r="H24" s="48" t="str">
        <x:v>淡水养殖</x:v>
      </x:c>
      <x:c r="I24" s="48" t="n">
        <x:v>1</x:v>
      </x:c>
      <x:c r="J24" s="48" t="str">
        <x:v>fresh_sales</x:v>
      </x:c>
      <x:c r="K24" s="48" t="str">
        <x:v>鲜销</x:v>
      </x:c>
      <x:c r="L24" s="55" t="n">
        <x:v>1180810.740799451</x:v>
      </x:c>
      <x:c r="M24" s="54" t="n">
        <x:v>0.041837722260758846</x:v>
      </x:c>
      <x:c r="N24" s="54" t="n">
        <x:v>0.9125215100681507</x:v>
      </x:c>
      <x:c r="O24" s="55" t="n">
        <x:v>426671.9840904591</x:v>
      </x:c>
      <x:c r="P24" s="55" t="n">
        <x:v>1284085.3844734987</x:v>
      </x:c>
      <x:c r="Q24" s="55" t="n">
        <x:v>747768.0110176979</x:v>
      </x:c>
      <x:c r="R24" s="54" t="n">
        <x:v>0.88</x:v>
      </x:c>
      <x:c r="S24" s="54" t="n">
        <x:v>0.84</x:v>
      </x:c>
      <x:c r="T24" s="54" t="n">
        <x:v>0.31</x:v>
      </x:c>
      <x:c r="U24" s="54" t="n">
        <x:v>0.88</x:v>
      </x:c>
      <x:c r="V24" s="54" t="n">
        <x:v>0.08</x:v>
      </x:c>
      <x:c r="W24" s="53" t="str">
        <x:v>calibrated reconstruction; not historical author input</x:v>
      </x:c>
    </x:row>
    <x:row r="25" ht="28" hidden="0" customHeight="1">
      <x:c r="A25" s="48" t="str">
        <x:v>x_r03_s4_m2</x:v>
      </x:c>
      <x:c r="B25" s="48" t="str">
        <x:v>r03</x:v>
      </x:c>
      <x:c r="C25" s="48" t="str">
        <x:v>CN-HE</x:v>
      </x:c>
      <x:c r="D25" s="48" t="str">
        <x:v>Hebei</x:v>
      </x:c>
      <x:c r="E25" s="48" t="str">
        <x:v>河北</x:v>
      </x:c>
      <x:c r="F25" s="48" t="n">
        <x:v>4</x:v>
      </x:c>
      <x:c r="G25" s="48" t="str">
        <x:v>freshwater_aquaculture</x:v>
      </x:c>
      <x:c r="H25" s="48" t="str">
        <x:v>淡水养殖</x:v>
      </x:c>
      <x:c r="I25" s="48" t="n">
        <x:v>2</x:v>
      </x:c>
      <x:c r="J25" s="48" t="str">
        <x:v>deep_processing</x:v>
      </x:c>
      <x:c r="K25" s="48" t="str">
        <x:v>深加工</x:v>
      </x:c>
      <x:c r="L25" s="55" t="n">
        <x:v>530509.1734026519</x:v>
      </x:c>
      <x:c r="M25" s="54" t="n">
        <x:v>0.041837722260758846</x:v>
      </x:c>
      <x:c r="N25" s="54" t="n">
        <x:v>0.9125215100681507</x:v>
      </x:c>
      <x:c r="O25" s="55" t="n">
        <x:v>426671.9840904591</x:v>
      </x:c>
      <x:c r="P25" s="55" t="n">
        <x:v>1284085.3844734987</x:v>
      </x:c>
      <x:c r="Q25" s="55" t="n">
        <x:v>747768.0110176979</x:v>
      </x:c>
      <x:c r="R25" s="54" t="n">
        <x:v>1.06</x:v>
      </x:c>
      <x:c r="S25" s="54" t="n">
        <x:v>1.2</x:v>
      </x:c>
      <x:c r="T25" s="54" t="n">
        <x:v>0.39</x:v>
      </x:c>
      <x:c r="U25" s="54" t="n">
        <x:v>0.91</x:v>
      </x:c>
      <x:c r="V25" s="54" t="n">
        <x:v>0.08</x:v>
      </x:c>
      <x:c r="W25" s="53" t="str">
        <x:v>calibrated reconstruction; not historical author input</x:v>
      </x:c>
    </x:row>
    <x:row r="26" ht="28" hidden="0" customHeight="1">
      <x:c r="A26" s="48" t="str">
        <x:v>x_r04_s1_m1</x:v>
      </x:c>
      <x:c r="B26" s="48" t="str">
        <x:v>r04</x:v>
      </x:c>
      <x:c r="C26" s="48" t="str">
        <x:v>CN-SX</x:v>
      </x:c>
      <x:c r="D26" s="48" t="str">
        <x:v>Shanxi</x:v>
      </x:c>
      <x:c r="E26" s="48" t="str">
        <x:v>山西</x:v>
      </x:c>
      <x:c r="F26" s="48" t="n">
        <x:v>1</x:v>
      </x:c>
      <x:c r="G26" s="48" t="str">
        <x:v>marine_capture</x:v>
      </x:c>
      <x:c r="H26" s="48" t="str">
        <x:v>海洋捕捞</x:v>
      </x:c>
      <x:c r="I26" s="48" t="n">
        <x:v>1</x:v>
      </x:c>
      <x:c r="J26" s="48" t="str">
        <x:v>fresh_sales</x:v>
      </x:c>
      <x:c r="K26" s="48" t="str">
        <x:v>鲜销</x:v>
      </x:c>
      <x:c r="L26" s="55" t="n">
        <x:v>334940.7110530564</x:v>
      </x:c>
      <x:c r="M26" s="54" t="n">
        <x:v>0.04210730252062003</x:v>
      </x:c>
      <x:c r="N26" s="54" t="n">
        <x:v>0.8687815534103528</x:v>
      </x:c>
      <x:c r="O26" s="55" t="n">
        <x:v>472251.3899776165</x:v>
      </x:c>
      <x:c r="P26" s="55" t="n">
        <x:v>1264342.75388117</x:v>
      </x:c>
      <x:c r="Q26" s="55" t="n">
        <x:v>735032.6404570927</x:v>
      </x:c>
      <x:c r="R26" s="54" t="n">
        <x:v>0.65</x:v>
      </x:c>
      <x:c r="S26" s="54" t="n">
        <x:v>0.62</x:v>
      </x:c>
      <x:c r="T26" s="54" t="n">
        <x:v>0.29</x:v>
      </x:c>
      <x:c r="U26" s="54" t="n">
        <x:v>0.28</x:v>
      </x:c>
      <x:c r="V26" s="54" t="n">
        <x:v>1</x:v>
      </x:c>
      <x:c r="W26" s="53" t="str">
        <x:v>calibrated reconstruction; not historical author input</x:v>
      </x:c>
    </x:row>
    <x:row r="27" ht="28" hidden="0" customHeight="1">
      <x:c r="A27" s="48" t="str">
        <x:v>x_r04_s1_m2</x:v>
      </x:c>
      <x:c r="B27" s="48" t="str">
        <x:v>r04</x:v>
      </x:c>
      <x:c r="C27" s="48" t="str">
        <x:v>CN-SX</x:v>
      </x:c>
      <x:c r="D27" s="48" t="str">
        <x:v>Shanxi</x:v>
      </x:c>
      <x:c r="E27" s="48" t="str">
        <x:v>山西</x:v>
      </x:c>
      <x:c r="F27" s="48" t="n">
        <x:v>1</x:v>
      </x:c>
      <x:c r="G27" s="48" t="str">
        <x:v>marine_capture</x:v>
      </x:c>
      <x:c r="H27" s="48" t="str">
        <x:v>海洋捕捞</x:v>
      </x:c>
      <x:c r="I27" s="48" t="n">
        <x:v>2</x:v>
      </x:c>
      <x:c r="J27" s="48" t="str">
        <x:v>deep_processing</x:v>
      </x:c>
      <x:c r="K27" s="48" t="str">
        <x:v>深加工</x:v>
      </x:c>
      <x:c r="L27" s="55" t="n">
        <x:v>150480.60931369202</x:v>
      </x:c>
      <x:c r="M27" s="54" t="n">
        <x:v>0.04210730252062003</x:v>
      </x:c>
      <x:c r="N27" s="54" t="n">
        <x:v>0.8687815534103528</x:v>
      </x:c>
      <x:c r="O27" s="55" t="n">
        <x:v>472251.3899776165</x:v>
      </x:c>
      <x:c r="P27" s="55" t="n">
        <x:v>1264342.75388117</x:v>
      </x:c>
      <x:c r="Q27" s="55" t="n">
        <x:v>735032.6404570927</x:v>
      </x:c>
      <x:c r="R27" s="54" t="n">
        <x:v>0.82</x:v>
      </x:c>
      <x:c r="S27" s="54" t="n">
        <x:v>0.95</x:v>
      </x:c>
      <x:c r="T27" s="54" t="n">
        <x:v>0.36</x:v>
      </x:c>
      <x:c r="U27" s="54" t="n">
        <x:v>0.31</x:v>
      </x:c>
      <x:c r="V27" s="54" t="n">
        <x:v>1</x:v>
      </x:c>
      <x:c r="W27" s="53" t="str">
        <x:v>calibrated reconstruction; not historical author input</x:v>
      </x:c>
    </x:row>
    <x:row r="28" ht="28" hidden="0" customHeight="1">
      <x:c r="A28" s="48" t="str">
        <x:v>x_r04_s2_m1</x:v>
      </x:c>
      <x:c r="B28" s="48" t="str">
        <x:v>r04</x:v>
      </x:c>
      <x:c r="C28" s="48" t="str">
        <x:v>CN-SX</x:v>
      </x:c>
      <x:c r="D28" s="48" t="str">
        <x:v>Shanxi</x:v>
      </x:c>
      <x:c r="E28" s="48" t="str">
        <x:v>山西</x:v>
      </x:c>
      <x:c r="F28" s="48" t="n">
        <x:v>2</x:v>
      </x:c>
      <x:c r="G28" s="48" t="str">
        <x:v>freshwater_capture</x:v>
      </x:c>
      <x:c r="H28" s="48" t="str">
        <x:v>淡水捕捞</x:v>
      </x:c>
      <x:c r="I28" s="48" t="n">
        <x:v>1</x:v>
      </x:c>
      <x:c r="J28" s="48" t="str">
        <x:v>fresh_sales</x:v>
      </x:c>
      <x:c r="K28" s="48" t="str">
        <x:v>鲜销</x:v>
      </x:c>
      <x:c r="L28" s="55" t="n">
        <x:v>121571.07290073899</x:v>
      </x:c>
      <x:c r="M28" s="54" t="n">
        <x:v>0.04210730252062003</x:v>
      </x:c>
      <x:c r="N28" s="54" t="n">
        <x:v>0.8687815534103528</x:v>
      </x:c>
      <x:c r="O28" s="55" t="n">
        <x:v>472251.3899776165</x:v>
      </x:c>
      <x:c r="P28" s="55" t="n">
        <x:v>1264342.75388117</x:v>
      </x:c>
      <x:c r="Q28" s="55" t="n">
        <x:v>735032.6404570927</x:v>
      </x:c>
      <x:c r="R28" s="54" t="n">
        <x:v>0.7</x:v>
      </x:c>
      <x:c r="S28" s="54" t="n">
        <x:v>0.67</x:v>
      </x:c>
      <x:c r="T28" s="54" t="n">
        <x:v>0.26</x:v>
      </x:c>
      <x:c r="U28" s="54" t="n">
        <x:v>0.42</x:v>
      </x:c>
      <x:c r="V28" s="54" t="n">
        <x:v>0.7</x:v>
      </x:c>
      <x:c r="W28" s="53" t="str">
        <x:v>calibrated reconstruction; not historical author input</x:v>
      </x:c>
    </x:row>
    <x:row r="29" ht="28" hidden="0" customHeight="1">
      <x:c r="A29" s="48" t="str">
        <x:v>x_r04_s2_m2</x:v>
      </x:c>
      <x:c r="B29" s="48" t="str">
        <x:v>r04</x:v>
      </x:c>
      <x:c r="C29" s="48" t="str">
        <x:v>CN-SX</x:v>
      </x:c>
      <x:c r="D29" s="48" t="str">
        <x:v>Shanxi</x:v>
      </x:c>
      <x:c r="E29" s="48" t="str">
        <x:v>山西</x:v>
      </x:c>
      <x:c r="F29" s="48" t="n">
        <x:v>2</x:v>
      </x:c>
      <x:c r="G29" s="48" t="str">
        <x:v>freshwater_capture</x:v>
      </x:c>
      <x:c r="H29" s="48" t="str">
        <x:v>淡水捕捞</x:v>
      </x:c>
      <x:c r="I29" s="48" t="n">
        <x:v>2</x:v>
      </x:c>
      <x:c r="J29" s="48" t="str">
        <x:v>deep_processing</x:v>
      </x:c>
      <x:c r="K29" s="48" t="str">
        <x:v>深加工</x:v>
      </x:c>
      <x:c r="L29" s="55" t="n">
        <x:v>54618.88782496969</x:v>
      </x:c>
      <x:c r="M29" s="54" t="n">
        <x:v>0.04210730252062003</x:v>
      </x:c>
      <x:c r="N29" s="54" t="n">
        <x:v>0.8687815534103528</x:v>
      </x:c>
      <x:c r="O29" s="55" t="n">
        <x:v>472251.3899776165</x:v>
      </x:c>
      <x:c r="P29" s="55" t="n">
        <x:v>1264342.75388117</x:v>
      </x:c>
      <x:c r="Q29" s="55" t="n">
        <x:v>735032.6404570927</x:v>
      </x:c>
      <x:c r="R29" s="54" t="n">
        <x:v>0.86</x:v>
      </x:c>
      <x:c r="S29" s="54" t="n">
        <x:v>0.99</x:v>
      </x:c>
      <x:c r="T29" s="54" t="n">
        <x:v>0.34</x:v>
      </x:c>
      <x:c r="U29" s="54" t="n">
        <x:v>0.45</x:v>
      </x:c>
      <x:c r="V29" s="54" t="n">
        <x:v>0.7</x:v>
      </x:c>
      <x:c r="W29" s="53" t="str">
        <x:v>calibrated reconstruction; not historical author input</x:v>
      </x:c>
    </x:row>
    <x:row r="30" ht="28" hidden="0" customHeight="1">
      <x:c r="A30" s="48" t="str">
        <x:v>x_r04_s3_m1</x:v>
      </x:c>
      <x:c r="B30" s="48" t="str">
        <x:v>r04</x:v>
      </x:c>
      <x:c r="C30" s="48" t="str">
        <x:v>CN-SX</x:v>
      </x:c>
      <x:c r="D30" s="48" t="str">
        <x:v>Shanxi</x:v>
      </x:c>
      <x:c r="E30" s="48" t="str">
        <x:v>山西</x:v>
      </x:c>
      <x:c r="F30" s="48" t="n">
        <x:v>3</x:v>
      </x:c>
      <x:c r="G30" s="48" t="str">
        <x:v>marine_aquaculture</x:v>
      </x:c>
      <x:c r="H30" s="48" t="str">
        <x:v>海水养殖</x:v>
      </x:c>
      <x:c r="I30" s="48" t="n">
        <x:v>1</x:v>
      </x:c>
      <x:c r="J30" s="48" t="str">
        <x:v>fresh_sales</x:v>
      </x:c>
      <x:c r="K30" s="48" t="str">
        <x:v>鲜销</x:v>
      </x:c>
      <x:c r="L30" s="55" t="n">
        <x:v>836111.2564805925</x:v>
      </x:c>
      <x:c r="M30" s="54" t="n">
        <x:v>0.04210730252062003</x:v>
      </x:c>
      <x:c r="N30" s="54" t="n">
        <x:v>0.8687815534103528</x:v>
      </x:c>
      <x:c r="O30" s="55" t="n">
        <x:v>472251.3899776165</x:v>
      </x:c>
      <x:c r="P30" s="55" t="n">
        <x:v>1264342.75388117</x:v>
      </x:c>
      <x:c r="Q30" s="55" t="n">
        <x:v>735032.6404570927</x:v>
      </x:c>
      <x:c r="R30" s="54" t="n">
        <x:v>0.84</x:v>
      </x:c>
      <x:c r="S30" s="54" t="n">
        <x:v>0.8</x:v>
      </x:c>
      <x:c r="T30" s="54" t="n">
        <x:v>0.33</x:v>
      </x:c>
      <x:c r="U30" s="54" t="n">
        <x:v>0.78</x:v>
      </x:c>
      <x:c r="V30" s="54" t="n">
        <x:v>0.11</x:v>
      </x:c>
      <x:c r="W30" s="53" t="str">
        <x:v>calibrated reconstruction; not historical author input</x:v>
      </x:c>
    </x:row>
    <x:row r="31" ht="28" hidden="0" customHeight="1">
      <x:c r="A31" s="48" t="str">
        <x:v>x_r04_s3_m2</x:v>
      </x:c>
      <x:c r="B31" s="48" t="str">
        <x:v>r04</x:v>
      </x:c>
      <x:c r="C31" s="48" t="str">
        <x:v>CN-SX</x:v>
      </x:c>
      <x:c r="D31" s="48" t="str">
        <x:v>Shanxi</x:v>
      </x:c>
      <x:c r="E31" s="48" t="str">
        <x:v>山西</x:v>
      </x:c>
      <x:c r="F31" s="48" t="n">
        <x:v>3</x:v>
      </x:c>
      <x:c r="G31" s="48" t="str">
        <x:v>marine_aquaculture</x:v>
      </x:c>
      <x:c r="H31" s="48" t="str">
        <x:v>海水养殖</x:v>
      </x:c>
      <x:c r="I31" s="48" t="n">
        <x:v>2</x:v>
      </x:c>
      <x:c r="J31" s="48" t="str">
        <x:v>deep_processing</x:v>
      </x:c>
      <x:c r="K31" s="48" t="str">
        <x:v>深加工</x:v>
      </x:c>
      <x:c r="L31" s="55" t="n">
        <x:v>375644.1876941793</x:v>
      </x:c>
      <x:c r="M31" s="54" t="n">
        <x:v>0.04210730252062003</x:v>
      </x:c>
      <x:c r="N31" s="54" t="n">
        <x:v>0.8687815534103528</x:v>
      </x:c>
      <x:c r="O31" s="55" t="n">
        <x:v>472251.3899776165</x:v>
      </x:c>
      <x:c r="P31" s="55" t="n">
        <x:v>1264342.75388117</x:v>
      </x:c>
      <x:c r="Q31" s="55" t="n">
        <x:v>735032.6404570927</x:v>
      </x:c>
      <x:c r="R31" s="54" t="n">
        <x:v>1.02</x:v>
      </x:c>
      <x:c r="S31" s="54" t="n">
        <x:v>1.16</x:v>
      </x:c>
      <x:c r="T31" s="54" t="n">
        <x:v>0.41</x:v>
      </x:c>
      <x:c r="U31" s="54" t="n">
        <x:v>0.81</x:v>
      </x:c>
      <x:c r="V31" s="54" t="n">
        <x:v>0.11</x:v>
      </x:c>
      <x:c r="W31" s="53" t="str">
        <x:v>calibrated reconstruction; not historical author input</x:v>
      </x:c>
    </x:row>
    <x:row r="32" ht="28" hidden="0" customHeight="1">
      <x:c r="A32" s="48" t="str">
        <x:v>x_r04_s4_m1</x:v>
      </x:c>
      <x:c r="B32" s="48" t="str">
        <x:v>r04</x:v>
      </x:c>
      <x:c r="C32" s="48" t="str">
        <x:v>CN-SX</x:v>
      </x:c>
      <x:c r="D32" s="48" t="str">
        <x:v>Shanxi</x:v>
      </x:c>
      <x:c r="E32" s="48" t="str">
        <x:v>山西</x:v>
      </x:c>
      <x:c r="F32" s="48" t="n">
        <x:v>4</x:v>
      </x:c>
      <x:c r="G32" s="48" t="str">
        <x:v>freshwater_aquaculture</x:v>
      </x:c>
      <x:c r="H32" s="48" t="str">
        <x:v>淡水养殖</x:v>
      </x:c>
      <x:c r="I32" s="48" t="n">
        <x:v>1</x:v>
      </x:c>
      <x:c r="J32" s="48" t="str">
        <x:v>fresh_sales</x:v>
      </x:c>
      <x:c r="K32" s="48" t="str">
        <x:v>鲜销</x:v>
      </x:c>
      <x:c r="L32" s="55" t="n">
        <x:v>1188419.263662326</x:v>
      </x:c>
      <x:c r="M32" s="54" t="n">
        <x:v>0.04210730252062003</x:v>
      </x:c>
      <x:c r="N32" s="54" t="n">
        <x:v>0.8687815534103528</x:v>
      </x:c>
      <x:c r="O32" s="55" t="n">
        <x:v>472251.3899776165</x:v>
      </x:c>
      <x:c r="P32" s="55" t="n">
        <x:v>1264342.75388117</x:v>
      </x:c>
      <x:c r="Q32" s="55" t="n">
        <x:v>735032.6404570927</x:v>
      </x:c>
      <x:c r="R32" s="54" t="n">
        <x:v>0.88</x:v>
      </x:c>
      <x:c r="S32" s="54" t="n">
        <x:v>0.84</x:v>
      </x:c>
      <x:c r="T32" s="54" t="n">
        <x:v>0.31</x:v>
      </x:c>
      <x:c r="U32" s="54" t="n">
        <x:v>0.88</x:v>
      </x:c>
      <x:c r="V32" s="54" t="n">
        <x:v>0.08</x:v>
      </x:c>
      <x:c r="W32" s="53" t="str">
        <x:v>calibrated reconstruction; not historical author input</x:v>
      </x:c>
    </x:row>
    <x:row r="33" ht="28" hidden="0" customHeight="1">
      <x:c r="A33" s="48" t="str">
        <x:v>x_r04_s4_m2</x:v>
      </x:c>
      <x:c r="B33" s="48" t="str">
        <x:v>r04</x:v>
      </x:c>
      <x:c r="C33" s="48" t="str">
        <x:v>CN-SX</x:v>
      </x:c>
      <x:c r="D33" s="48" t="str">
        <x:v>Shanxi</x:v>
      </x:c>
      <x:c r="E33" s="48" t="str">
        <x:v>山西</x:v>
      </x:c>
      <x:c r="F33" s="48" t="n">
        <x:v>4</x:v>
      </x:c>
      <x:c r="G33" s="48" t="str">
        <x:v>freshwater_aquaculture</x:v>
      </x:c>
      <x:c r="H33" s="48" t="str">
        <x:v>淡水养殖</x:v>
      </x:c>
      <x:c r="I33" s="48" t="n">
        <x:v>2</x:v>
      </x:c>
      <x:c r="J33" s="48" t="str">
        <x:v>deep_processing</x:v>
      </x:c>
      <x:c r="K33" s="48" t="str">
        <x:v>深加工</x:v>
      </x:c>
      <x:c r="L33" s="55" t="n">
        <x:v>533927.4952685812</x:v>
      </x:c>
      <x:c r="M33" s="54" t="n">
        <x:v>0.04210730252062003</x:v>
      </x:c>
      <x:c r="N33" s="54" t="n">
        <x:v>0.8687815534103528</x:v>
      </x:c>
      <x:c r="O33" s="55" t="n">
        <x:v>472251.3899776165</x:v>
      </x:c>
      <x:c r="P33" s="55" t="n">
        <x:v>1264342.75388117</x:v>
      </x:c>
      <x:c r="Q33" s="55" t="n">
        <x:v>735032.6404570927</x:v>
      </x:c>
      <x:c r="R33" s="54" t="n">
        <x:v>1.06</x:v>
      </x:c>
      <x:c r="S33" s="54" t="n">
        <x:v>1.2</x:v>
      </x:c>
      <x:c r="T33" s="54" t="n">
        <x:v>0.39</x:v>
      </x:c>
      <x:c r="U33" s="54" t="n">
        <x:v>0.91</x:v>
      </x:c>
      <x:c r="V33" s="54" t="n">
        <x:v>0.08</x:v>
      </x:c>
      <x:c r="W33" s="53" t="str">
        <x:v>calibrated reconstruction; not historical author input</x:v>
      </x:c>
    </x:row>
    <x:row r="34" ht="28" hidden="0" customHeight="1">
      <x:c r="A34" s="48" t="str">
        <x:v>x_r05_s1_m1</x:v>
      </x:c>
      <x:c r="B34" s="48" t="str">
        <x:v>r05</x:v>
      </x:c>
      <x:c r="C34" s="48" t="str">
        <x:v>CN-NM</x:v>
      </x:c>
      <x:c r="D34" s="48" t="str">
        <x:v>Inner Mongolia</x:v>
      </x:c>
      <x:c r="E34" s="48" t="str">
        <x:v>内蒙古</x:v>
      </x:c>
      <x:c r="F34" s="48" t="n">
        <x:v>1</x:v>
      </x:c>
      <x:c r="G34" s="48" t="str">
        <x:v>marine_capture</x:v>
      </x:c>
      <x:c r="H34" s="48" t="str">
        <x:v>海洋捕捞</x:v>
      </x:c>
      <x:c r="I34" s="48" t="n">
        <x:v>1</x:v>
      </x:c>
      <x:c r="J34" s="48" t="str">
        <x:v>fresh_sales</x:v>
      </x:c>
      <x:c r="K34" s="48" t="str">
        <x:v>鲜销</x:v>
      </x:c>
      <x:c r="L34" s="55" t="n">
        <x:v>415331.0260558679</x:v>
      </x:c>
      <x:c r="M34" s="54" t="n">
        <x:v>0.05221362642167342</x:v>
      </x:c>
      <x:c r="N34" s="54" t="n">
        <x:v>0.8536831455316404</x:v>
      </x:c>
      <x:c r="O34" s="55" t="n">
        <x:v>598140.0057903939</x:v>
      </x:c>
      <x:c r="P34" s="55" t="n">
        <x:v>1533061.203709528</x:v>
      </x:c>
      <x:c r="Q34" s="55" t="n">
        <x:v>1035932.0209654227</x:v>
      </x:c>
      <x:c r="R34" s="54" t="n">
        <x:v>0.65</x:v>
      </x:c>
      <x:c r="S34" s="54" t="n">
        <x:v>0.62</x:v>
      </x:c>
      <x:c r="T34" s="54" t="n">
        <x:v>0.29</x:v>
      </x:c>
      <x:c r="U34" s="54" t="n">
        <x:v>0.28</x:v>
      </x:c>
      <x:c r="V34" s="54" t="n">
        <x:v>1</x:v>
      </x:c>
      <x:c r="W34" s="53" t="str">
        <x:v>calibrated reconstruction; not historical author input</x:v>
      </x:c>
    </x:row>
    <x:row r="35" ht="28" hidden="0" customHeight="1">
      <x:c r="A35" s="48" t="str">
        <x:v>x_r05_s1_m2</x:v>
      </x:c>
      <x:c r="B35" s="48" t="str">
        <x:v>r05</x:v>
      </x:c>
      <x:c r="C35" s="48" t="str">
        <x:v>CN-NM</x:v>
      </x:c>
      <x:c r="D35" s="48" t="str">
        <x:v>Inner Mongolia</x:v>
      </x:c>
      <x:c r="E35" s="48" t="str">
        <x:v>内蒙古</x:v>
      </x:c>
      <x:c r="F35" s="48" t="n">
        <x:v>1</x:v>
      </x:c>
      <x:c r="G35" s="48" t="str">
        <x:v>marine_capture</x:v>
      </x:c>
      <x:c r="H35" s="48" t="str">
        <x:v>海洋捕捞</x:v>
      </x:c>
      <x:c r="I35" s="48" t="n">
        <x:v>2</x:v>
      </x:c>
      <x:c r="J35" s="48" t="str">
        <x:v>deep_processing</x:v>
      </x:c>
      <x:c r="K35" s="48" t="str">
        <x:v>深加工</x:v>
      </x:c>
      <x:c r="L35" s="55" t="n">
        <x:v>186597.99721350588</x:v>
      </x:c>
      <x:c r="M35" s="54" t="n">
        <x:v>0.05221362642167342</x:v>
      </x:c>
      <x:c r="N35" s="54" t="n">
        <x:v>0.8536831455316404</x:v>
      </x:c>
      <x:c r="O35" s="55" t="n">
        <x:v>598140.0057903939</x:v>
      </x:c>
      <x:c r="P35" s="55" t="n">
        <x:v>1533061.203709528</x:v>
      </x:c>
      <x:c r="Q35" s="55" t="n">
        <x:v>1035932.0209654227</x:v>
      </x:c>
      <x:c r="R35" s="54" t="n">
        <x:v>0.82</x:v>
      </x:c>
      <x:c r="S35" s="54" t="n">
        <x:v>0.95</x:v>
      </x:c>
      <x:c r="T35" s="54" t="n">
        <x:v>0.36</x:v>
      </x:c>
      <x:c r="U35" s="54" t="n">
        <x:v>0.31</x:v>
      </x:c>
      <x:c r="V35" s="54" t="n">
        <x:v>1</x:v>
      </x:c>
      <x:c r="W35" s="53" t="str">
        <x:v>calibrated reconstruction; not historical author input</x:v>
      </x:c>
    </x:row>
    <x:row r="36" ht="28" hidden="0" customHeight="1">
      <x:c r="A36" s="48" t="str">
        <x:v>x_r05_s2_m1</x:v>
      </x:c>
      <x:c r="B36" s="48" t="str">
        <x:v>r05</x:v>
      </x:c>
      <x:c r="C36" s="48" t="str">
        <x:v>CN-NM</x:v>
      </x:c>
      <x:c r="D36" s="48" t="str">
        <x:v>Inner Mongolia</x:v>
      </x:c>
      <x:c r="E36" s="48" t="str">
        <x:v>内蒙古</x:v>
      </x:c>
      <x:c r="F36" s="48" t="n">
        <x:v>2</x:v>
      </x:c>
      <x:c r="G36" s="48" t="str">
        <x:v>freshwater_capture</x:v>
      </x:c>
      <x:c r="H36" s="48" t="str">
        <x:v>淡水捕捞</x:v>
      </x:c>
      <x:c r="I36" s="48" t="n">
        <x:v>1</x:v>
      </x:c>
      <x:c r="J36" s="48" t="str">
        <x:v>fresh_sales</x:v>
      </x:c>
      <x:c r="K36" s="48" t="str">
        <x:v>鲜销</x:v>
      </x:c>
      <x:c r="L36" s="55" t="n">
        <x:v>150749.77982768536</x:v>
      </x:c>
      <x:c r="M36" s="54" t="n">
        <x:v>0.05221362642167342</x:v>
      </x:c>
      <x:c r="N36" s="54" t="n">
        <x:v>0.8536831455316404</x:v>
      </x:c>
      <x:c r="O36" s="55" t="n">
        <x:v>598140.0057903939</x:v>
      </x:c>
      <x:c r="P36" s="55" t="n">
        <x:v>1533061.203709528</x:v>
      </x:c>
      <x:c r="Q36" s="55" t="n">
        <x:v>1035932.0209654227</x:v>
      </x:c>
      <x:c r="R36" s="54" t="n">
        <x:v>0.7</x:v>
      </x:c>
      <x:c r="S36" s="54" t="n">
        <x:v>0.67</x:v>
      </x:c>
      <x:c r="T36" s="54" t="n">
        <x:v>0.26</x:v>
      </x:c>
      <x:c r="U36" s="54" t="n">
        <x:v>0.42</x:v>
      </x:c>
      <x:c r="V36" s="54" t="n">
        <x:v>0.7</x:v>
      </x:c>
      <x:c r="W36" s="53" t="str">
        <x:v>calibrated reconstruction; not historical author input</x:v>
      </x:c>
    </x:row>
    <x:row r="37" ht="28" hidden="0" customHeight="1">
      <x:c r="A37" s="48" t="str">
        <x:v>x_r05_s2_m2</x:v>
      </x:c>
      <x:c r="B37" s="48" t="str">
        <x:v>r05</x:v>
      </x:c>
      <x:c r="C37" s="48" t="str">
        <x:v>CN-NM</x:v>
      </x:c>
      <x:c r="D37" s="48" t="str">
        <x:v>Inner Mongolia</x:v>
      </x:c>
      <x:c r="E37" s="48" t="str">
        <x:v>内蒙古</x:v>
      </x:c>
      <x:c r="F37" s="48" t="n">
        <x:v>2</x:v>
      </x:c>
      <x:c r="G37" s="48" t="str">
        <x:v>freshwater_capture</x:v>
      </x:c>
      <x:c r="H37" s="48" t="str">
        <x:v>淡水捕捞</x:v>
      </x:c>
      <x:c r="I37" s="48" t="n">
        <x:v>2</x:v>
      </x:c>
      <x:c r="J37" s="48" t="str">
        <x:v>deep_processing</x:v>
      </x:c>
      <x:c r="K37" s="48" t="str">
        <x:v>深加工</x:v>
      </x:c>
      <x:c r="L37" s="55" t="n">
        <x:v>67728.16195156879</x:v>
      </x:c>
      <x:c r="M37" s="54" t="n">
        <x:v>0.05221362642167342</x:v>
      </x:c>
      <x:c r="N37" s="54" t="n">
        <x:v>0.8536831455316404</x:v>
      </x:c>
      <x:c r="O37" s="55" t="n">
        <x:v>598140.0057903939</x:v>
      </x:c>
      <x:c r="P37" s="55" t="n">
        <x:v>1533061.203709528</x:v>
      </x:c>
      <x:c r="Q37" s="55" t="n">
        <x:v>1035932.0209654227</x:v>
      </x:c>
      <x:c r="R37" s="54" t="n">
        <x:v>0.86</x:v>
      </x:c>
      <x:c r="S37" s="54" t="n">
        <x:v>0.99</x:v>
      </x:c>
      <x:c r="T37" s="54" t="n">
        <x:v>0.34</x:v>
      </x:c>
      <x:c r="U37" s="54" t="n">
        <x:v>0.45</x:v>
      </x:c>
      <x:c r="V37" s="54" t="n">
        <x:v>0.7</x:v>
      </x:c>
      <x:c r="W37" s="53" t="str">
        <x:v>calibrated reconstruction; not historical author input</x:v>
      </x:c>
    </x:row>
    <x:row r="38" ht="28" hidden="0" customHeight="1">
      <x:c r="A38" s="48" t="str">
        <x:v>x_r05_s3_m1</x:v>
      </x:c>
      <x:c r="B38" s="48" t="str">
        <x:v>r05</x:v>
      </x:c>
      <x:c r="C38" s="48" t="str">
        <x:v>CN-NM</x:v>
      </x:c>
      <x:c r="D38" s="48" t="str">
        <x:v>Inner Mongolia</x:v>
      </x:c>
      <x:c r="E38" s="48" t="str">
        <x:v>内蒙古</x:v>
      </x:c>
      <x:c r="F38" s="48" t="n">
        <x:v>3</x:v>
      </x:c>
      <x:c r="G38" s="48" t="str">
        <x:v>marine_aquaculture</x:v>
      </x:c>
      <x:c r="H38" s="48" t="str">
        <x:v>海水养殖</x:v>
      </x:c>
      <x:c r="I38" s="48" t="n">
        <x:v>1</x:v>
      </x:c>
      <x:c r="J38" s="48" t="str">
        <x:v>fresh_sales</x:v>
      </x:c>
      <x:c r="K38" s="48" t="str">
        <x:v>鲜销</x:v>
      </x:c>
      <x:c r="L38" s="55" t="n">
        <x:v>1036789.3020802035</x:v>
      </x:c>
      <x:c r="M38" s="54" t="n">
        <x:v>0.05221362642167342</x:v>
      </x:c>
      <x:c r="N38" s="54" t="n">
        <x:v>0.8536831455316404</x:v>
      </x:c>
      <x:c r="O38" s="55" t="n">
        <x:v>598140.0057903939</x:v>
      </x:c>
      <x:c r="P38" s="55" t="n">
        <x:v>1533061.203709528</x:v>
      </x:c>
      <x:c r="Q38" s="55" t="n">
        <x:v>1035932.0209654227</x:v>
      </x:c>
      <x:c r="R38" s="54" t="n">
        <x:v>0.84</x:v>
      </x:c>
      <x:c r="S38" s="54" t="n">
        <x:v>0.8</x:v>
      </x:c>
      <x:c r="T38" s="54" t="n">
        <x:v>0.33</x:v>
      </x:c>
      <x:c r="U38" s="54" t="n">
        <x:v>0.78</x:v>
      </x:c>
      <x:c r="V38" s="54" t="n">
        <x:v>0.11</x:v>
      </x:c>
      <x:c r="W38" s="53" t="str">
        <x:v>calibrated reconstruction; not historical author input</x:v>
      </x:c>
    </x:row>
    <x:row r="39" ht="28" hidden="0" customHeight="1">
      <x:c r="A39" s="48" t="str">
        <x:v>x_r05_s3_m2</x:v>
      </x:c>
      <x:c r="B39" s="48" t="str">
        <x:v>r05</x:v>
      </x:c>
      <x:c r="C39" s="48" t="str">
        <x:v>CN-NM</x:v>
      </x:c>
      <x:c r="D39" s="48" t="str">
        <x:v>Inner Mongolia</x:v>
      </x:c>
      <x:c r="E39" s="48" t="str">
        <x:v>内蒙古</x:v>
      </x:c>
      <x:c r="F39" s="48" t="n">
        <x:v>3</x:v>
      </x:c>
      <x:c r="G39" s="48" t="str">
        <x:v>marine_aquaculture</x:v>
      </x:c>
      <x:c r="H39" s="48" t="str">
        <x:v>海水养殖</x:v>
      </x:c>
      <x:c r="I39" s="48" t="n">
        <x:v>2</x:v>
      </x:c>
      <x:c r="J39" s="48" t="str">
        <x:v>deep_processing</x:v>
      </x:c>
      <x:c r="K39" s="48" t="str">
        <x:v>深加工</x:v>
      </x:c>
      <x:c r="L39" s="55" t="n">
        <x:v>465803.8893403813</x:v>
      </x:c>
      <x:c r="M39" s="54" t="n">
        <x:v>0.05221362642167342</x:v>
      </x:c>
      <x:c r="N39" s="54" t="n">
        <x:v>0.8536831455316404</x:v>
      </x:c>
      <x:c r="O39" s="55" t="n">
        <x:v>598140.0057903939</x:v>
      </x:c>
      <x:c r="P39" s="55" t="n">
        <x:v>1533061.203709528</x:v>
      </x:c>
      <x:c r="Q39" s="55" t="n">
        <x:v>1035932.0209654227</x:v>
      </x:c>
      <x:c r="R39" s="54" t="n">
        <x:v>1.02</x:v>
      </x:c>
      <x:c r="S39" s="54" t="n">
        <x:v>1.16</x:v>
      </x:c>
      <x:c r="T39" s="54" t="n">
        <x:v>0.41</x:v>
      </x:c>
      <x:c r="U39" s="54" t="n">
        <x:v>0.81</x:v>
      </x:c>
      <x:c r="V39" s="54" t="n">
        <x:v>0.11</x:v>
      </x:c>
      <x:c r="W39" s="53" t="str">
        <x:v>calibrated reconstruction; not historical author input</x:v>
      </x:c>
    </x:row>
    <x:row r="40" ht="28" hidden="0" customHeight="1">
      <x:c r="A40" s="48" t="str">
        <x:v>x_r05_s4_m1</x:v>
      </x:c>
      <x:c r="B40" s="48" t="str">
        <x:v>r05</x:v>
      </x:c>
      <x:c r="C40" s="48" t="str">
        <x:v>CN-NM</x:v>
      </x:c>
      <x:c r="D40" s="48" t="str">
        <x:v>Inner Mongolia</x:v>
      </x:c>
      <x:c r="E40" s="48" t="str">
        <x:v>内蒙古</x:v>
      </x:c>
      <x:c r="F40" s="48" t="n">
        <x:v>4</x:v>
      </x:c>
      <x:c r="G40" s="48" t="str">
        <x:v>freshwater_aquaculture</x:v>
      </x:c>
      <x:c r="H40" s="48" t="str">
        <x:v>淡水养殖</x:v>
      </x:c>
      <x:c r="I40" s="48" t="n">
        <x:v>1</x:v>
      </x:c>
      <x:c r="J40" s="48" t="str">
        <x:v>fresh_sales</x:v>
      </x:c>
      <x:c r="K40" s="48" t="str">
        <x:v>鲜销</x:v>
      </x:c>
      <x:c r="L40" s="55" t="n">
        <x:v>1473656.0109685976</x:v>
      </x:c>
      <x:c r="M40" s="54" t="n">
        <x:v>0.05221362642167342</x:v>
      </x:c>
      <x:c r="N40" s="54" t="n">
        <x:v>0.8536831455316404</x:v>
      </x:c>
      <x:c r="O40" s="55" t="n">
        <x:v>598140.0057903939</x:v>
      </x:c>
      <x:c r="P40" s="55" t="n">
        <x:v>1533061.203709528</x:v>
      </x:c>
      <x:c r="Q40" s="55" t="n">
        <x:v>1035932.0209654227</x:v>
      </x:c>
      <x:c r="R40" s="54" t="n">
        <x:v>0.88</x:v>
      </x:c>
      <x:c r="S40" s="54" t="n">
        <x:v>0.84</x:v>
      </x:c>
      <x:c r="T40" s="54" t="n">
        <x:v>0.31</x:v>
      </x:c>
      <x:c r="U40" s="54" t="n">
        <x:v>0.88</x:v>
      </x:c>
      <x:c r="V40" s="54" t="n">
        <x:v>0.08</x:v>
      </x:c>
      <x:c r="W40" s="53" t="str">
        <x:v>calibrated reconstruction; not historical author input</x:v>
      </x:c>
    </x:row>
    <x:row r="41" ht="28" hidden="0" customHeight="1">
      <x:c r="A41" s="48" t="str">
        <x:v>x_r05_s4_m2</x:v>
      </x:c>
      <x:c r="B41" s="48" t="str">
        <x:v>r05</x:v>
      </x:c>
      <x:c r="C41" s="48" t="str">
        <x:v>CN-NM</x:v>
      </x:c>
      <x:c r="D41" s="48" t="str">
        <x:v>Inner Mongolia</x:v>
      </x:c>
      <x:c r="E41" s="48" t="str">
        <x:v>内蒙古</x:v>
      </x:c>
      <x:c r="F41" s="48" t="n">
        <x:v>4</x:v>
      </x:c>
      <x:c r="G41" s="48" t="str">
        <x:v>freshwater_aquaculture</x:v>
      </x:c>
      <x:c r="H41" s="48" t="str">
        <x:v>淡水养殖</x:v>
      </x:c>
      <x:c r="I41" s="48" t="n">
        <x:v>2</x:v>
      </x:c>
      <x:c r="J41" s="48" t="str">
        <x:v>deep_processing</x:v>
      </x:c>
      <x:c r="K41" s="48" t="str">
        <x:v>深加工</x:v>
      </x:c>
      <x:c r="L41" s="55" t="n">
        <x:v>662077.338261254</x:v>
      </x:c>
      <x:c r="M41" s="54" t="n">
        <x:v>0.05221362642167342</x:v>
      </x:c>
      <x:c r="N41" s="54" t="n">
        <x:v>0.8536831455316404</x:v>
      </x:c>
      <x:c r="O41" s="55" t="n">
        <x:v>598140.0057903939</x:v>
      </x:c>
      <x:c r="P41" s="55" t="n">
        <x:v>1533061.203709528</x:v>
      </x:c>
      <x:c r="Q41" s="55" t="n">
        <x:v>1035932.0209654227</x:v>
      </x:c>
      <x:c r="R41" s="54" t="n">
        <x:v>1.06</x:v>
      </x:c>
      <x:c r="S41" s="54" t="n">
        <x:v>1.2</x:v>
      </x:c>
      <x:c r="T41" s="54" t="n">
        <x:v>0.39</x:v>
      </x:c>
      <x:c r="U41" s="54" t="n">
        <x:v>0.91</x:v>
      </x:c>
      <x:c r="V41" s="54" t="n">
        <x:v>0.08</x:v>
      </x:c>
      <x:c r="W41" s="53" t="str">
        <x:v>calibrated reconstruction; not historical author input</x:v>
      </x:c>
    </x:row>
    <x:row r="42" ht="28" hidden="0" customHeight="1">
      <x:c r="A42" s="48" t="str">
        <x:v>x_r06_s1_m1</x:v>
      </x:c>
      <x:c r="B42" s="48" t="str">
        <x:v>r06</x:v>
      </x:c>
      <x:c r="C42" s="48" t="str">
        <x:v>CN-LN</x:v>
      </x:c>
      <x:c r="D42" s="48" t="str">
        <x:v>Liaoning</x:v>
      </x:c>
      <x:c r="E42" s="48" t="str">
        <x:v>辽宁</x:v>
      </x:c>
      <x:c r="F42" s="48" t="n">
        <x:v>1</x:v>
      </x:c>
      <x:c r="G42" s="48" t="str">
        <x:v>marine_capture</x:v>
      </x:c>
      <x:c r="H42" s="48" t="str">
        <x:v>海洋捕捞</x:v>
      </x:c>
      <x:c r="I42" s="48" t="n">
        <x:v>1</x:v>
      </x:c>
      <x:c r="J42" s="48" t="str">
        <x:v>fresh_sales</x:v>
      </x:c>
      <x:c r="K42" s="48" t="str">
        <x:v>鲜销</x:v>
      </x:c>
      <x:c r="L42" s="55" t="n">
        <x:v>351181.45503717504</x:v>
      </x:c>
      <x:c r="M42" s="54" t="n">
        <x:v>0.04414901885289024</x:v>
      </x:c>
      <x:c r="N42" s="54" t="n">
        <x:v>0.8326766120798901</x:v>
      </x:c>
      <x:c r="O42" s="55" t="n">
        <x:v>580954.0718862708</x:v>
      </x:c>
      <x:c r="P42" s="55" t="n">
        <x:v>1266898.566324395</x:v>
      </x:c>
      <x:c r="Q42" s="55" t="n">
        <x:v>811840.5549216125</x:v>
      </x:c>
      <x:c r="R42" s="54" t="n">
        <x:v>0.65</x:v>
      </x:c>
      <x:c r="S42" s="54" t="n">
        <x:v>0.62</x:v>
      </x:c>
      <x:c r="T42" s="54" t="n">
        <x:v>0.29</x:v>
      </x:c>
      <x:c r="U42" s="54" t="n">
        <x:v>0.28</x:v>
      </x:c>
      <x:c r="V42" s="54" t="n">
        <x:v>1</x:v>
      </x:c>
      <x:c r="W42" s="53" t="str">
        <x:v>calibrated reconstruction; not historical author input</x:v>
      </x:c>
    </x:row>
    <x:row r="43" ht="28" hidden="0" customHeight="1">
      <x:c r="A43" s="48" t="str">
        <x:v>x_r06_s1_m2</x:v>
      </x:c>
      <x:c r="B43" s="48" t="str">
        <x:v>r06</x:v>
      </x:c>
      <x:c r="C43" s="48" t="str">
        <x:v>CN-LN</x:v>
      </x:c>
      <x:c r="D43" s="48" t="str">
        <x:v>Liaoning</x:v>
      </x:c>
      <x:c r="E43" s="48" t="str">
        <x:v>辽宁</x:v>
      </x:c>
      <x:c r="F43" s="48" t="n">
        <x:v>1</x:v>
      </x:c>
      <x:c r="G43" s="48" t="str">
        <x:v>marine_capture</x:v>
      </x:c>
      <x:c r="H43" s="48" t="str">
        <x:v>海洋捕捞</x:v>
      </x:c>
      <x:c r="I43" s="48" t="n">
        <x:v>2</x:v>
      </x:c>
      <x:c r="J43" s="48" t="str">
        <x:v>deep_processing</x:v>
      </x:c>
      <x:c r="K43" s="48" t="str">
        <x:v>深加工</x:v>
      </x:c>
      <x:c r="L43" s="55" t="n">
        <x:v>157777.17545148445</x:v>
      </x:c>
      <x:c r="M43" s="54" t="n">
        <x:v>0.04414901885289024</x:v>
      </x:c>
      <x:c r="N43" s="54" t="n">
        <x:v>0.8326766120798901</x:v>
      </x:c>
      <x:c r="O43" s="55" t="n">
        <x:v>580954.0718862708</x:v>
      </x:c>
      <x:c r="P43" s="55" t="n">
        <x:v>1266898.566324395</x:v>
      </x:c>
      <x:c r="Q43" s="55" t="n">
        <x:v>811840.5549216125</x:v>
      </x:c>
      <x:c r="R43" s="54" t="n">
        <x:v>0.82</x:v>
      </x:c>
      <x:c r="S43" s="54" t="n">
        <x:v>0.95</x:v>
      </x:c>
      <x:c r="T43" s="54" t="n">
        <x:v>0.36</x:v>
      </x:c>
      <x:c r="U43" s="54" t="n">
        <x:v>0.31</x:v>
      </x:c>
      <x:c r="V43" s="54" t="n">
        <x:v>1</x:v>
      </x:c>
      <x:c r="W43" s="53" t="str">
        <x:v>calibrated reconstruction; not historical author input</x:v>
      </x:c>
    </x:row>
    <x:row r="44" ht="28" hidden="0" customHeight="1">
      <x:c r="A44" s="48" t="str">
        <x:v>x_r06_s2_m1</x:v>
      </x:c>
      <x:c r="B44" s="48" t="str">
        <x:v>r06</x:v>
      </x:c>
      <x:c r="C44" s="48" t="str">
        <x:v>CN-LN</x:v>
      </x:c>
      <x:c r="D44" s="48" t="str">
        <x:v>Liaoning</x:v>
      </x:c>
      <x:c r="E44" s="48" t="str">
        <x:v>辽宁</x:v>
      </x:c>
      <x:c r="F44" s="48" t="n">
        <x:v>2</x:v>
      </x:c>
      <x:c r="G44" s="48" t="str">
        <x:v>freshwater_capture</x:v>
      </x:c>
      <x:c r="H44" s="48" t="str">
        <x:v>淡水捕捞</x:v>
      </x:c>
      <x:c r="I44" s="48" t="n">
        <x:v>1</x:v>
      </x:c>
      <x:c r="J44" s="48" t="str">
        <x:v>fresh_sales</x:v>
      </x:c>
      <x:c r="K44" s="48" t="str">
        <x:v>鲜销</x:v>
      </x:c>
      <x:c r="L44" s="55" t="n">
        <x:v>127465.8614579376</x:v>
      </x:c>
      <x:c r="M44" s="54" t="n">
        <x:v>0.04414901885289024</x:v>
      </x:c>
      <x:c r="N44" s="54" t="n">
        <x:v>0.8326766120798901</x:v>
      </x:c>
      <x:c r="O44" s="55" t="n">
        <x:v>580954.0718862708</x:v>
      </x:c>
      <x:c r="P44" s="55" t="n">
        <x:v>1266898.566324395</x:v>
      </x:c>
      <x:c r="Q44" s="55" t="n">
        <x:v>811840.5549216125</x:v>
      </x:c>
      <x:c r="R44" s="54" t="n">
        <x:v>0.7</x:v>
      </x:c>
      <x:c r="S44" s="54" t="n">
        <x:v>0.67</x:v>
      </x:c>
      <x:c r="T44" s="54" t="n">
        <x:v>0.26</x:v>
      </x:c>
      <x:c r="U44" s="54" t="n">
        <x:v>0.42</x:v>
      </x:c>
      <x:c r="V44" s="54" t="n">
        <x:v>0.7</x:v>
      </x:c>
      <x:c r="W44" s="53" t="str">
        <x:v>calibrated reconstruction; not historical author input</x:v>
      </x:c>
    </x:row>
    <x:row r="45" ht="28" hidden="0" customHeight="1">
      <x:c r="A45" s="48" t="str">
        <x:v>x_r06_s2_m2</x:v>
      </x:c>
      <x:c r="B45" s="48" t="str">
        <x:v>r06</x:v>
      </x:c>
      <x:c r="C45" s="48" t="str">
        <x:v>CN-LN</x:v>
      </x:c>
      <x:c r="D45" s="48" t="str">
        <x:v>Liaoning</x:v>
      </x:c>
      <x:c r="E45" s="48" t="str">
        <x:v>辽宁</x:v>
      </x:c>
      <x:c r="F45" s="48" t="n">
        <x:v>2</x:v>
      </x:c>
      <x:c r="G45" s="48" t="str">
        <x:v>freshwater_capture</x:v>
      </x:c>
      <x:c r="H45" s="48" t="str">
        <x:v>淡水捕捞</x:v>
      </x:c>
      <x:c r="I45" s="48" t="n">
        <x:v>2</x:v>
      </x:c>
      <x:c r="J45" s="48" t="str">
        <x:v>deep_processing</x:v>
      </x:c>
      <x:c r="K45" s="48" t="str">
        <x:v>深加工</x:v>
      </x:c>
      <x:c r="L45" s="55" t="n">
        <x:v>57267.27108979806</x:v>
      </x:c>
      <x:c r="M45" s="54" t="n">
        <x:v>0.04414901885289024</x:v>
      </x:c>
      <x:c r="N45" s="54" t="n">
        <x:v>0.8326766120798901</x:v>
      </x:c>
      <x:c r="O45" s="55" t="n">
        <x:v>580954.0718862708</x:v>
      </x:c>
      <x:c r="P45" s="55" t="n">
        <x:v>1266898.566324395</x:v>
      </x:c>
      <x:c r="Q45" s="55" t="n">
        <x:v>811840.5549216125</x:v>
      </x:c>
      <x:c r="R45" s="54" t="n">
        <x:v>0.86</x:v>
      </x:c>
      <x:c r="S45" s="54" t="n">
        <x:v>0.99</x:v>
      </x:c>
      <x:c r="T45" s="54" t="n">
        <x:v>0.34</x:v>
      </x:c>
      <x:c r="U45" s="54" t="n">
        <x:v>0.45</x:v>
      </x:c>
      <x:c r="V45" s="54" t="n">
        <x:v>0.7</x:v>
      </x:c>
      <x:c r="W45" s="53" t="str">
        <x:v>calibrated reconstruction; not historical author input</x:v>
      </x:c>
    </x:row>
    <x:row r="46" ht="28" hidden="0" customHeight="1">
      <x:c r="A46" s="48" t="str">
        <x:v>x_r06_s3_m1</x:v>
      </x:c>
      <x:c r="B46" s="48" t="str">
        <x:v>r06</x:v>
      </x:c>
      <x:c r="C46" s="48" t="str">
        <x:v>CN-LN</x:v>
      </x:c>
      <x:c r="D46" s="48" t="str">
        <x:v>Liaoning</x:v>
      </x:c>
      <x:c r="E46" s="48" t="str">
        <x:v>辽宁</x:v>
      </x:c>
      <x:c r="F46" s="48" t="n">
        <x:v>3</x:v>
      </x:c>
      <x:c r="G46" s="48" t="str">
        <x:v>marine_aquaculture</x:v>
      </x:c>
      <x:c r="H46" s="48" t="str">
        <x:v>海水养殖</x:v>
      </x:c>
      <x:c r="I46" s="48" t="n">
        <x:v>1</x:v>
      </x:c>
      <x:c r="J46" s="48" t="str">
        <x:v>fresh_sales</x:v>
      </x:c>
      <x:c r="K46" s="48" t="str">
        <x:v>鲜销</x:v>
      </x:c>
      <x:c r="L46" s="55" t="n">
        <x:v>876652.9655372443</x:v>
      </x:c>
      <x:c r="M46" s="54" t="n">
        <x:v>0.04414901885289024</x:v>
      </x:c>
      <x:c r="N46" s="54" t="n">
        <x:v>0.8326766120798901</x:v>
      </x:c>
      <x:c r="O46" s="55" t="n">
        <x:v>580954.0718862708</x:v>
      </x:c>
      <x:c r="P46" s="55" t="n">
        <x:v>1266898.566324395</x:v>
      </x:c>
      <x:c r="Q46" s="55" t="n">
        <x:v>811840.5549216125</x:v>
      </x:c>
      <x:c r="R46" s="54" t="n">
        <x:v>0.84</x:v>
      </x:c>
      <x:c r="S46" s="54" t="n">
        <x:v>0.8</x:v>
      </x:c>
      <x:c r="T46" s="54" t="n">
        <x:v>0.33</x:v>
      </x:c>
      <x:c r="U46" s="54" t="n">
        <x:v>0.78</x:v>
      </x:c>
      <x:c r="V46" s="54" t="n">
        <x:v>0.11</x:v>
      </x:c>
      <x:c r="W46" s="53" t="str">
        <x:v>calibrated reconstruction; not historical author input</x:v>
      </x:c>
    </x:row>
    <x:row r="47" ht="28" hidden="0" customHeight="1">
      <x:c r="A47" s="48" t="str">
        <x:v>x_r06_s3_m2</x:v>
      </x:c>
      <x:c r="B47" s="48" t="str">
        <x:v>r06</x:v>
      </x:c>
      <x:c r="C47" s="48" t="str">
        <x:v>CN-LN</x:v>
      </x:c>
      <x:c r="D47" s="48" t="str">
        <x:v>Liaoning</x:v>
      </x:c>
      <x:c r="E47" s="48" t="str">
        <x:v>辽宁</x:v>
      </x:c>
      <x:c r="F47" s="48" t="n">
        <x:v>3</x:v>
      </x:c>
      <x:c r="G47" s="48" t="str">
        <x:v>marine_aquaculture</x:v>
      </x:c>
      <x:c r="H47" s="48" t="str">
        <x:v>海水养殖</x:v>
      </x:c>
      <x:c r="I47" s="48" t="n">
        <x:v>2</x:v>
      </x:c>
      <x:c r="J47" s="48" t="str">
        <x:v>deep_processing</x:v>
      </x:c>
      <x:c r="K47" s="48" t="str">
        <x:v>深加工</x:v>
      </x:c>
      <x:c r="L47" s="55" t="n">
        <x:v>393858.57871963154</x:v>
      </x:c>
      <x:c r="M47" s="54" t="n">
        <x:v>0.04414901885289024</x:v>
      </x:c>
      <x:c r="N47" s="54" t="n">
        <x:v>0.8326766120798901</x:v>
      </x:c>
      <x:c r="O47" s="55" t="n">
        <x:v>580954.0718862708</x:v>
      </x:c>
      <x:c r="P47" s="55" t="n">
        <x:v>1266898.566324395</x:v>
      </x:c>
      <x:c r="Q47" s="55" t="n">
        <x:v>811840.5549216125</x:v>
      </x:c>
      <x:c r="R47" s="54" t="n">
        <x:v>1.02</x:v>
      </x:c>
      <x:c r="S47" s="54" t="n">
        <x:v>1.16</x:v>
      </x:c>
      <x:c r="T47" s="54" t="n">
        <x:v>0.41</x:v>
      </x:c>
      <x:c r="U47" s="54" t="n">
        <x:v>0.81</x:v>
      </x:c>
      <x:c r="V47" s="54" t="n">
        <x:v>0.11</x:v>
      </x:c>
      <x:c r="W47" s="53" t="str">
        <x:v>calibrated reconstruction; not historical author input</x:v>
      </x:c>
    </x:row>
    <x:row r="48" ht="28" hidden="0" customHeight="1">
      <x:c r="A48" s="48" t="str">
        <x:v>x_r06_s4_m1</x:v>
      </x:c>
      <x:c r="B48" s="48" t="str">
        <x:v>r06</x:v>
      </x:c>
      <x:c r="C48" s="48" t="str">
        <x:v>CN-LN</x:v>
      </x:c>
      <x:c r="D48" s="48" t="str">
        <x:v>Liaoning</x:v>
      </x:c>
      <x:c r="E48" s="48" t="str">
        <x:v>辽宁</x:v>
      </x:c>
      <x:c r="F48" s="48" t="n">
        <x:v>4</x:v>
      </x:c>
      <x:c r="G48" s="48" t="str">
        <x:v>freshwater_aquaculture</x:v>
      </x:c>
      <x:c r="H48" s="48" t="str">
        <x:v>淡水养殖</x:v>
      </x:c>
      <x:c r="I48" s="48" t="n">
        <x:v>1</x:v>
      </x:c>
      <x:c r="J48" s="48" t="str">
        <x:v>fresh_sales</x:v>
      </x:c>
      <x:c r="K48" s="48" t="str">
        <x:v>鲜销</x:v>
      </x:c>
      <x:c r="L48" s="55" t="n">
        <x:v>1246043.8293541246</x:v>
      </x:c>
      <x:c r="M48" s="54" t="n">
        <x:v>0.04414901885289024</x:v>
      </x:c>
      <x:c r="N48" s="54" t="n">
        <x:v>0.8326766120798901</x:v>
      </x:c>
      <x:c r="O48" s="55" t="n">
        <x:v>580954.0718862708</x:v>
      </x:c>
      <x:c r="P48" s="55" t="n">
        <x:v>1266898.566324395</x:v>
      </x:c>
      <x:c r="Q48" s="55" t="n">
        <x:v>811840.5549216125</x:v>
      </x:c>
      <x:c r="R48" s="54" t="n">
        <x:v>0.88</x:v>
      </x:c>
      <x:c r="S48" s="54" t="n">
        <x:v>0.84</x:v>
      </x:c>
      <x:c r="T48" s="54" t="n">
        <x:v>0.31</x:v>
      </x:c>
      <x:c r="U48" s="54" t="n">
        <x:v>0.88</x:v>
      </x:c>
      <x:c r="V48" s="54" t="n">
        <x:v>0.08</x:v>
      </x:c>
      <x:c r="W48" s="53" t="str">
        <x:v>calibrated reconstruction; not historical author input</x:v>
      </x:c>
    </x:row>
    <x:row r="49" ht="28" hidden="0" customHeight="1">
      <x:c r="A49" s="48" t="str">
        <x:v>x_r06_s4_m2</x:v>
      </x:c>
      <x:c r="B49" s="48" t="str">
        <x:v>r06</x:v>
      </x:c>
      <x:c r="C49" s="48" t="str">
        <x:v>CN-LN</x:v>
      </x:c>
      <x:c r="D49" s="48" t="str">
        <x:v>Liaoning</x:v>
      </x:c>
      <x:c r="E49" s="48" t="str">
        <x:v>辽宁</x:v>
      </x:c>
      <x:c r="F49" s="48" t="n">
        <x:v>4</x:v>
      </x:c>
      <x:c r="G49" s="48" t="str">
        <x:v>freshwater_aquaculture</x:v>
      </x:c>
      <x:c r="H49" s="48" t="str">
        <x:v>淡水养殖</x:v>
      </x:c>
      <x:c r="I49" s="48" t="n">
        <x:v>2</x:v>
      </x:c>
      <x:c r="J49" s="48" t="str">
        <x:v>deep_processing</x:v>
      </x:c>
      <x:c r="K49" s="48" t="str">
        <x:v>深加工</x:v>
      </x:c>
      <x:c r="L49" s="55" t="n">
        <x:v>559816.7928982299</x:v>
      </x:c>
      <x:c r="M49" s="54" t="n">
        <x:v>0.04414901885289024</x:v>
      </x:c>
      <x:c r="N49" s="54" t="n">
        <x:v>0.8326766120798901</x:v>
      </x:c>
      <x:c r="O49" s="55" t="n">
        <x:v>580954.0718862708</x:v>
      </x:c>
      <x:c r="P49" s="55" t="n">
        <x:v>1266898.566324395</x:v>
      </x:c>
      <x:c r="Q49" s="55" t="n">
        <x:v>811840.5549216125</x:v>
      </x:c>
      <x:c r="R49" s="54" t="n">
        <x:v>1.06</x:v>
      </x:c>
      <x:c r="S49" s="54" t="n">
        <x:v>1.2</x:v>
      </x:c>
      <x:c r="T49" s="54" t="n">
        <x:v>0.39</x:v>
      </x:c>
      <x:c r="U49" s="54" t="n">
        <x:v>0.91</x:v>
      </x:c>
      <x:c r="V49" s="54" t="n">
        <x:v>0.08</x:v>
      </x:c>
      <x:c r="W49" s="53" t="str">
        <x:v>calibrated reconstruction; not historical author input</x:v>
      </x:c>
    </x:row>
    <x:row r="50" ht="28" hidden="0" customHeight="1">
      <x:c r="A50" s="48" t="str">
        <x:v>x_r07_s1_m1</x:v>
      </x:c>
      <x:c r="B50" s="48" t="str">
        <x:v>r07</x:v>
      </x:c>
      <x:c r="C50" s="48" t="str">
        <x:v>CN-JL</x:v>
      </x:c>
      <x:c r="D50" s="48" t="str">
        <x:v>Jilin</x:v>
      </x:c>
      <x:c r="E50" s="48" t="str">
        <x:v>吉林</x:v>
      </x:c>
      <x:c r="F50" s="48" t="n">
        <x:v>1</x:v>
      </x:c>
      <x:c r="G50" s="48" t="str">
        <x:v>marine_capture</x:v>
      </x:c>
      <x:c r="H50" s="48" t="str">
        <x:v>海洋捕捞</x:v>
      </x:c>
      <x:c r="I50" s="48" t="n">
        <x:v>1</x:v>
      </x:c>
      <x:c r="J50" s="48" t="str">
        <x:v>fresh_sales</x:v>
      </x:c>
      <x:c r="K50" s="48" t="str">
        <x:v>鲜销</x:v>
      </x:c>
      <x:c r="L50" s="55" t="n">
        <x:v>285942.70743249595</x:v>
      </x:c>
      <x:c r="M50" s="54" t="n">
        <x:v>0.03594748469832325</x:v>
      </x:c>
      <x:c r="N50" s="54" t="n">
        <x:v>0.8452625184478366</x:v>
      </x:c>
      <x:c r="O50" s="55" t="n">
        <x:v>410524.2661301078</x:v>
      </x:c>
      <x:c r="P50" s="55" t="n">
        <x:v>1007629.5621547697</x:v>
      </x:c>
      <x:c r="Q50" s="55" t="n">
        <x:v>723735.5637490759</x:v>
      </x:c>
      <x:c r="R50" s="54" t="n">
        <x:v>0.65</x:v>
      </x:c>
      <x:c r="S50" s="54" t="n">
        <x:v>0.62</x:v>
      </x:c>
      <x:c r="T50" s="54" t="n">
        <x:v>0.29</x:v>
      </x:c>
      <x:c r="U50" s="54" t="n">
        <x:v>0.28</x:v>
      </x:c>
      <x:c r="V50" s="54" t="n">
        <x:v>1</x:v>
      </x:c>
      <x:c r="W50" s="53" t="str">
        <x:v>calibrated reconstruction; not historical author input</x:v>
      </x:c>
    </x:row>
    <x:row r="51" ht="28" hidden="0" customHeight="1">
      <x:c r="A51" s="48" t="str">
        <x:v>x_r07_s1_m2</x:v>
      </x:c>
      <x:c r="B51" s="48" t="str">
        <x:v>r07</x:v>
      </x:c>
      <x:c r="C51" s="48" t="str">
        <x:v>CN-JL</x:v>
      </x:c>
      <x:c r="D51" s="48" t="str">
        <x:v>Jilin</x:v>
      </x:c>
      <x:c r="E51" s="48" t="str">
        <x:v>吉林</x:v>
      </x:c>
      <x:c r="F51" s="48" t="n">
        <x:v>1</x:v>
      </x:c>
      <x:c r="G51" s="48" t="str">
        <x:v>marine_capture</x:v>
      </x:c>
      <x:c r="H51" s="48" t="str">
        <x:v>海洋捕捞</x:v>
      </x:c>
      <x:c r="I51" s="48" t="n">
        <x:v>2</x:v>
      </x:c>
      <x:c r="J51" s="48" t="str">
        <x:v>deep_processing</x:v>
      </x:c>
      <x:c r="K51" s="48" t="str">
        <x:v>深加工</x:v>
      </x:c>
      <x:c r="L51" s="55" t="n">
        <x:v>128467.01348416487</x:v>
      </x:c>
      <x:c r="M51" s="54" t="n">
        <x:v>0.03594748469832325</x:v>
      </x:c>
      <x:c r="N51" s="54" t="n">
        <x:v>0.8452625184478366</x:v>
      </x:c>
      <x:c r="O51" s="55" t="n">
        <x:v>410524.2661301078</x:v>
      </x:c>
      <x:c r="P51" s="55" t="n">
        <x:v>1007629.5621547697</x:v>
      </x:c>
      <x:c r="Q51" s="55" t="n">
        <x:v>723735.5637490759</x:v>
      </x:c>
      <x:c r="R51" s="54" t="n">
        <x:v>0.82</x:v>
      </x:c>
      <x:c r="S51" s="54" t="n">
        <x:v>0.95</x:v>
      </x:c>
      <x:c r="T51" s="54" t="n">
        <x:v>0.36</x:v>
      </x:c>
      <x:c r="U51" s="54" t="n">
        <x:v>0.31</x:v>
      </x:c>
      <x:c r="V51" s="54" t="n">
        <x:v>1</x:v>
      </x:c>
      <x:c r="W51" s="53" t="str">
        <x:v>calibrated reconstruction; not historical author input</x:v>
      </x:c>
    </x:row>
    <x:row r="52" ht="28" hidden="0" customHeight="1">
      <x:c r="A52" s="48" t="str">
        <x:v>x_r07_s2_m1</x:v>
      </x:c>
      <x:c r="B52" s="48" t="str">
        <x:v>r07</x:v>
      </x:c>
      <x:c r="C52" s="48" t="str">
        <x:v>CN-JL</x:v>
      </x:c>
      <x:c r="D52" s="48" t="str">
        <x:v>Jilin</x:v>
      </x:c>
      <x:c r="E52" s="48" t="str">
        <x:v>吉林</x:v>
      </x:c>
      <x:c r="F52" s="48" t="n">
        <x:v>2</x:v>
      </x:c>
      <x:c r="G52" s="48" t="str">
        <x:v>freshwater_capture</x:v>
      </x:c>
      <x:c r="H52" s="48" t="str">
        <x:v>淡水捕捞</x:v>
      </x:c>
      <x:c r="I52" s="48" t="n">
        <x:v>1</x:v>
      </x:c>
      <x:c r="J52" s="48" t="str">
        <x:v>fresh_sales</x:v>
      </x:c>
      <x:c r="K52" s="48" t="str">
        <x:v>鲜销</x:v>
      </x:c>
      <x:c r="L52" s="55" t="n">
        <x:v>103786.61232735039</x:v>
      </x:c>
      <x:c r="M52" s="54" t="n">
        <x:v>0.03594748469832325</x:v>
      </x:c>
      <x:c r="N52" s="54" t="n">
        <x:v>0.8452625184478366</x:v>
      </x:c>
      <x:c r="O52" s="55" t="n">
        <x:v>410524.2661301078</x:v>
      </x:c>
      <x:c r="P52" s="55" t="n">
        <x:v>1007629.5621547697</x:v>
      </x:c>
      <x:c r="Q52" s="55" t="n">
        <x:v>723735.5637490759</x:v>
      </x:c>
      <x:c r="R52" s="54" t="n">
        <x:v>0.7</x:v>
      </x:c>
      <x:c r="S52" s="54" t="n">
        <x:v>0.67</x:v>
      </x:c>
      <x:c r="T52" s="54" t="n">
        <x:v>0.26</x:v>
      </x:c>
      <x:c r="U52" s="54" t="n">
        <x:v>0.42</x:v>
      </x:c>
      <x:c r="V52" s="54" t="n">
        <x:v>0.7</x:v>
      </x:c>
      <x:c r="W52" s="53" t="str">
        <x:v>calibrated reconstruction; not historical author input</x:v>
      </x:c>
    </x:row>
    <x:row r="53" ht="28" hidden="0" customHeight="1">
      <x:c r="A53" s="48" t="str">
        <x:v>x_r07_s2_m2</x:v>
      </x:c>
      <x:c r="B53" s="48" t="str">
        <x:v>r07</x:v>
      </x:c>
      <x:c r="C53" s="48" t="str">
        <x:v>CN-JL</x:v>
      </x:c>
      <x:c r="D53" s="48" t="str">
        <x:v>Jilin</x:v>
      </x:c>
      <x:c r="E53" s="48" t="str">
        <x:v>吉林</x:v>
      </x:c>
      <x:c r="F53" s="48" t="n">
        <x:v>2</x:v>
      </x:c>
      <x:c r="G53" s="48" t="str">
        <x:v>freshwater_capture</x:v>
      </x:c>
      <x:c r="H53" s="48" t="str">
        <x:v>淡水捕捞</x:v>
      </x:c>
      <x:c r="I53" s="48" t="n">
        <x:v>2</x:v>
      </x:c>
      <x:c r="J53" s="48" t="str">
        <x:v>deep_processing</x:v>
      </x:c>
      <x:c r="K53" s="48" t="str">
        <x:v>深加工</x:v>
      </x:c>
      <x:c r="L53" s="55" t="n">
        <x:v>46628.767857215396</x:v>
      </x:c>
      <x:c r="M53" s="54" t="n">
        <x:v>0.03594748469832325</x:v>
      </x:c>
      <x:c r="N53" s="54" t="n">
        <x:v>0.8452625184478366</x:v>
      </x:c>
      <x:c r="O53" s="55" t="n">
        <x:v>410524.2661301078</x:v>
      </x:c>
      <x:c r="P53" s="55" t="n">
        <x:v>1007629.5621547697</x:v>
      </x:c>
      <x:c r="Q53" s="55" t="n">
        <x:v>723735.5637490759</x:v>
      </x:c>
      <x:c r="R53" s="54" t="n">
        <x:v>0.86</x:v>
      </x:c>
      <x:c r="S53" s="54" t="n">
        <x:v>0.99</x:v>
      </x:c>
      <x:c r="T53" s="54" t="n">
        <x:v>0.34</x:v>
      </x:c>
      <x:c r="U53" s="54" t="n">
        <x:v>0.45</x:v>
      </x:c>
      <x:c r="V53" s="54" t="n">
        <x:v>0.7</x:v>
      </x:c>
      <x:c r="W53" s="53" t="str">
        <x:v>calibrated reconstruction; not historical author input</x:v>
      </x:c>
    </x:row>
    <x:row r="54" ht="28" hidden="0" customHeight="1">
      <x:c r="A54" s="48" t="str">
        <x:v>x_r07_s3_m1</x:v>
      </x:c>
      <x:c r="B54" s="48" t="str">
        <x:v>r07</x:v>
      </x:c>
      <x:c r="C54" s="48" t="str">
        <x:v>CN-JL</x:v>
      </x:c>
      <x:c r="D54" s="48" t="str">
        <x:v>Jilin</x:v>
      </x:c>
      <x:c r="E54" s="48" t="str">
        <x:v>吉林</x:v>
      </x:c>
      <x:c r="F54" s="48" t="n">
        <x:v>3</x:v>
      </x:c>
      <x:c r="G54" s="48" t="str">
        <x:v>marine_aquaculture</x:v>
      </x:c>
      <x:c r="H54" s="48" t="str">
        <x:v>海水养殖</x:v>
      </x:c>
      <x:c r="I54" s="48" t="n">
        <x:v>1</x:v>
      </x:c>
      <x:c r="J54" s="48" t="str">
        <x:v>fresh_sales</x:v>
      </x:c>
      <x:c r="K54" s="48" t="str">
        <x:v>鲜销</x:v>
      </x:c>
      <x:c r="L54" s="55" t="n">
        <x:v>713797.7215166751</x:v>
      </x:c>
      <x:c r="M54" s="54" t="n">
        <x:v>0.03594748469832325</x:v>
      </x:c>
      <x:c r="N54" s="54" t="n">
        <x:v>0.8452625184478366</x:v>
      </x:c>
      <x:c r="O54" s="55" t="n">
        <x:v>410524.2661301078</x:v>
      </x:c>
      <x:c r="P54" s="55" t="n">
        <x:v>1007629.5621547697</x:v>
      </x:c>
      <x:c r="Q54" s="55" t="n">
        <x:v>723735.5637490759</x:v>
      </x:c>
      <x:c r="R54" s="54" t="n">
        <x:v>0.84</x:v>
      </x:c>
      <x:c r="S54" s="54" t="n">
        <x:v>0.8</x:v>
      </x:c>
      <x:c r="T54" s="54" t="n">
        <x:v>0.33</x:v>
      </x:c>
      <x:c r="U54" s="54" t="n">
        <x:v>0.78</x:v>
      </x:c>
      <x:c r="V54" s="54" t="n">
        <x:v>0.11</x:v>
      </x:c>
      <x:c r="W54" s="53" t="str">
        <x:v>calibrated reconstruction; not historical author input</x:v>
      </x:c>
    </x:row>
    <x:row r="55" ht="28" hidden="0" customHeight="1">
      <x:c r="A55" s="48" t="str">
        <x:v>x_r07_s3_m2</x:v>
      </x:c>
      <x:c r="B55" s="48" t="str">
        <x:v>r07</x:v>
      </x:c>
      <x:c r="C55" s="48" t="str">
        <x:v>CN-JL</x:v>
      </x:c>
      <x:c r="D55" s="48" t="str">
        <x:v>Jilin</x:v>
      </x:c>
      <x:c r="E55" s="48" t="str">
        <x:v>吉林</x:v>
      </x:c>
      <x:c r="F55" s="48" t="n">
        <x:v>3</x:v>
      </x:c>
      <x:c r="G55" s="48" t="str">
        <x:v>marine_aquaculture</x:v>
      </x:c>
      <x:c r="H55" s="48" t="str">
        <x:v>海水养殖</x:v>
      </x:c>
      <x:c r="I55" s="48" t="n">
        <x:v>2</x:v>
      </x:c>
      <x:c r="J55" s="48" t="str">
        <x:v>deep_processing</x:v>
      </x:c>
      <x:c r="K55" s="48" t="str">
        <x:v>深加工</x:v>
      </x:c>
      <x:c r="L55" s="55" t="n">
        <x:v>320691.7299567671</x:v>
      </x:c>
      <x:c r="M55" s="54" t="n">
        <x:v>0.03594748469832325</x:v>
      </x:c>
      <x:c r="N55" s="54" t="n">
        <x:v>0.8452625184478366</x:v>
      </x:c>
      <x:c r="O55" s="55" t="n">
        <x:v>410524.2661301078</x:v>
      </x:c>
      <x:c r="P55" s="55" t="n">
        <x:v>1007629.5621547697</x:v>
      </x:c>
      <x:c r="Q55" s="55" t="n">
        <x:v>723735.5637490759</x:v>
      </x:c>
      <x:c r="R55" s="54" t="n">
        <x:v>1.02</x:v>
      </x:c>
      <x:c r="S55" s="54" t="n">
        <x:v>1.16</x:v>
      </x:c>
      <x:c r="T55" s="54" t="n">
        <x:v>0.41</x:v>
      </x:c>
      <x:c r="U55" s="54" t="n">
        <x:v>0.81</x:v>
      </x:c>
      <x:c r="V55" s="54" t="n">
        <x:v>0.11</x:v>
      </x:c>
      <x:c r="W55" s="53" t="str">
        <x:v>calibrated reconstruction; not historical author input</x:v>
      </x:c>
    </x:row>
    <x:row r="56" ht="28" hidden="0" customHeight="1">
      <x:c r="A56" s="48" t="str">
        <x:v>x_r07_s4_m1</x:v>
      </x:c>
      <x:c r="B56" s="48" t="str">
        <x:v>r07</x:v>
      </x:c>
      <x:c r="C56" s="48" t="str">
        <x:v>CN-JL</x:v>
      </x:c>
      <x:c r="D56" s="48" t="str">
        <x:v>Jilin</x:v>
      </x:c>
      <x:c r="E56" s="48" t="str">
        <x:v>吉林</x:v>
      </x:c>
      <x:c r="F56" s="48" t="n">
        <x:v>4</x:v>
      </x:c>
      <x:c r="G56" s="48" t="str">
        <x:v>freshwater_aquaculture</x:v>
      </x:c>
      <x:c r="H56" s="48" t="str">
        <x:v>淡水养殖</x:v>
      </x:c>
      <x:c r="I56" s="48" t="n">
        <x:v>1</x:v>
      </x:c>
      <x:c r="J56" s="48" t="str">
        <x:v>fresh_sales</x:v>
      </x:c>
      <x:c r="K56" s="48" t="str">
        <x:v>鲜销</x:v>
      </x:c>
      <x:c r="L56" s="55" t="n">
        <x:v>1014567.0878530783</x:v>
      </x:c>
      <x:c r="M56" s="54" t="n">
        <x:v>0.03594748469832325</x:v>
      </x:c>
      <x:c r="N56" s="54" t="n">
        <x:v>0.8452625184478366</x:v>
      </x:c>
      <x:c r="O56" s="55" t="n">
        <x:v>410524.2661301078</x:v>
      </x:c>
      <x:c r="P56" s="55" t="n">
        <x:v>1007629.5621547697</x:v>
      </x:c>
      <x:c r="Q56" s="55" t="n">
        <x:v>723735.5637490759</x:v>
      </x:c>
      <x:c r="R56" s="54" t="n">
        <x:v>0.88</x:v>
      </x:c>
      <x:c r="S56" s="54" t="n">
        <x:v>0.84</x:v>
      </x:c>
      <x:c r="T56" s="54" t="n">
        <x:v>0.31</x:v>
      </x:c>
      <x:c r="U56" s="54" t="n">
        <x:v>0.88</x:v>
      </x:c>
      <x:c r="V56" s="54" t="n">
        <x:v>0.08</x:v>
      </x:c>
      <x:c r="W56" s="53" t="str">
        <x:v>calibrated reconstruction; not historical author input</x:v>
      </x:c>
    </x:row>
    <x:row r="57" ht="28" hidden="0" customHeight="1">
      <x:c r="A57" s="48" t="str">
        <x:v>x_r07_s4_m2</x:v>
      </x:c>
      <x:c r="B57" s="48" t="str">
        <x:v>r07</x:v>
      </x:c>
      <x:c r="C57" s="48" t="str">
        <x:v>CN-JL</x:v>
      </x:c>
      <x:c r="D57" s="48" t="str">
        <x:v>Jilin</x:v>
      </x:c>
      <x:c r="E57" s="48" t="str">
        <x:v>吉林</x:v>
      </x:c>
      <x:c r="F57" s="48" t="n">
        <x:v>4</x:v>
      </x:c>
      <x:c r="G57" s="48" t="str">
        <x:v>freshwater_aquaculture</x:v>
      </x:c>
      <x:c r="H57" s="48" t="str">
        <x:v>淡水养殖</x:v>
      </x:c>
      <x:c r="I57" s="48" t="n">
        <x:v>2</x:v>
      </x:c>
      <x:c r="J57" s="48" t="str">
        <x:v>deep_processing</x:v>
      </x:c>
      <x:c r="K57" s="48" t="str">
        <x:v>深加工</x:v>
      </x:c>
      <x:c r="L57" s="55" t="n">
        <x:v>455819.9959919627</x:v>
      </x:c>
      <x:c r="M57" s="54" t="n">
        <x:v>0.03594748469832325</x:v>
      </x:c>
      <x:c r="N57" s="54" t="n">
        <x:v>0.8452625184478366</x:v>
      </x:c>
      <x:c r="O57" s="55" t="n">
        <x:v>410524.2661301078</x:v>
      </x:c>
      <x:c r="P57" s="55" t="n">
        <x:v>1007629.5621547697</x:v>
      </x:c>
      <x:c r="Q57" s="55" t="n">
        <x:v>723735.5637490759</x:v>
      </x:c>
      <x:c r="R57" s="54" t="n">
        <x:v>1.06</x:v>
      </x:c>
      <x:c r="S57" s="54" t="n">
        <x:v>1.2</x:v>
      </x:c>
      <x:c r="T57" s="54" t="n">
        <x:v>0.39</x:v>
      </x:c>
      <x:c r="U57" s="54" t="n">
        <x:v>0.91</x:v>
      </x:c>
      <x:c r="V57" s="54" t="n">
        <x:v>0.08</x:v>
      </x:c>
      <x:c r="W57" s="53" t="str">
        <x:v>calibrated reconstruction; not historical author input</x:v>
      </x:c>
    </x:row>
    <x:row r="58" ht="28" hidden="0" customHeight="1">
      <x:c r="A58" s="48" t="str">
        <x:v>x_r08_s1_m1</x:v>
      </x:c>
      <x:c r="B58" s="48" t="str">
        <x:v>r08</x:v>
      </x:c>
      <x:c r="C58" s="48" t="str">
        <x:v>CN-HL</x:v>
      </x:c>
      <x:c r="D58" s="48" t="str">
        <x:v>Heilongjiang</x:v>
      </x:c>
      <x:c r="E58" s="48" t="str">
        <x:v>黑龙江</x:v>
      </x:c>
      <x:c r="F58" s="48" t="n">
        <x:v>1</x:v>
      </x:c>
      <x:c r="G58" s="48" t="str">
        <x:v>marine_capture</x:v>
      </x:c>
      <x:c r="H58" s="48" t="str">
        <x:v>海洋捕捞</x:v>
      </x:c>
      <x:c r="I58" s="48" t="n">
        <x:v>1</x:v>
      </x:c>
      <x:c r="J58" s="48" t="str">
        <x:v>fresh_sales</x:v>
      </x:c>
      <x:c r="K58" s="48" t="str">
        <x:v>鲜销</x:v>
      </x:c>
      <x:c r="L58" s="55" t="n">
        <x:v>329419.04942592647</x:v>
      </x:c>
      <x:c r="M58" s="54" t="n">
        <x:v>0.04141314302051308</x:v>
      </x:c>
      <x:c r="N58" s="54" t="n">
        <x:v>0.7672091985536691</x:v>
      </x:c>
      <x:c r="O58" s="55" t="n">
        <x:v>488685.8047665161</x:v>
      </x:c>
      <x:c r="P58" s="55" t="n">
        <x:v>1133280.5104378248</x:v>
      </x:c>
      <x:c r="Q58" s="55" t="n">
        <x:v>772925.4136496994</x:v>
      </x:c>
      <x:c r="R58" s="54" t="n">
        <x:v>0.65</x:v>
      </x:c>
      <x:c r="S58" s="54" t="n">
        <x:v>0.62</x:v>
      </x:c>
      <x:c r="T58" s="54" t="n">
        <x:v>0.29</x:v>
      </x:c>
      <x:c r="U58" s="54" t="n">
        <x:v>0.28</x:v>
      </x:c>
      <x:c r="V58" s="54" t="n">
        <x:v>1</x:v>
      </x:c>
      <x:c r="W58" s="53" t="str">
        <x:v>calibrated reconstruction; not historical author input</x:v>
      </x:c>
    </x:row>
    <x:row r="59" ht="28" hidden="0" customHeight="1">
      <x:c r="A59" s="48" t="str">
        <x:v>x_r08_s1_m2</x:v>
      </x:c>
      <x:c r="B59" s="48" t="str">
        <x:v>r08</x:v>
      </x:c>
      <x:c r="C59" s="48" t="str">
        <x:v>CN-HL</x:v>
      </x:c>
      <x:c r="D59" s="48" t="str">
        <x:v>Heilongjiang</x:v>
      </x:c>
      <x:c r="E59" s="48" t="str">
        <x:v>黑龙江</x:v>
      </x:c>
      <x:c r="F59" s="48" t="n">
        <x:v>1</x:v>
      </x:c>
      <x:c r="G59" s="48" t="str">
        <x:v>marine_capture</x:v>
      </x:c>
      <x:c r="H59" s="48" t="str">
        <x:v>海洋捕捞</x:v>
      </x:c>
      <x:c r="I59" s="48" t="n">
        <x:v>2</x:v>
      </x:c>
      <x:c r="J59" s="48" t="str">
        <x:v>deep_processing</x:v>
      </x:c>
      <x:c r="K59" s="48" t="str">
        <x:v>深加工</x:v>
      </x:c>
      <x:c r="L59" s="55" t="n">
        <x:v>147999.86278556118</x:v>
      </x:c>
      <x:c r="M59" s="54" t="n">
        <x:v>0.04141314302051308</x:v>
      </x:c>
      <x:c r="N59" s="54" t="n">
        <x:v>0.7672091985536691</x:v>
      </x:c>
      <x:c r="O59" s="55" t="n">
        <x:v>488685.8047665161</x:v>
      </x:c>
      <x:c r="P59" s="55" t="n">
        <x:v>1133280.5104378248</x:v>
      </x:c>
      <x:c r="Q59" s="55" t="n">
        <x:v>772925.4136496994</x:v>
      </x:c>
      <x:c r="R59" s="54" t="n">
        <x:v>0.82</x:v>
      </x:c>
      <x:c r="S59" s="54" t="n">
        <x:v>0.95</x:v>
      </x:c>
      <x:c r="T59" s="54" t="n">
        <x:v>0.36</x:v>
      </x:c>
      <x:c r="U59" s="54" t="n">
        <x:v>0.31</x:v>
      </x:c>
      <x:c r="V59" s="54" t="n">
        <x:v>1</x:v>
      </x:c>
      <x:c r="W59" s="53" t="str">
        <x:v>calibrated reconstruction; not historical author input</x:v>
      </x:c>
    </x:row>
    <x:row r="60" ht="28" hidden="0" customHeight="1">
      <x:c r="A60" s="48" t="str">
        <x:v>x_r08_s2_m1</x:v>
      </x:c>
      <x:c r="B60" s="48" t="str">
        <x:v>r08</x:v>
      </x:c>
      <x:c r="C60" s="48" t="str">
        <x:v>CN-HL</x:v>
      </x:c>
      <x:c r="D60" s="48" t="str">
        <x:v>Heilongjiang</x:v>
      </x:c>
      <x:c r="E60" s="48" t="str">
        <x:v>黑龙江</x:v>
      </x:c>
      <x:c r="F60" s="48" t="n">
        <x:v>2</x:v>
      </x:c>
      <x:c r="G60" s="48" t="str">
        <x:v>freshwater_capture</x:v>
      </x:c>
      <x:c r="H60" s="48" t="str">
        <x:v>淡水捕捞</x:v>
      </x:c>
      <x:c r="I60" s="48" t="n">
        <x:v>1</x:v>
      </x:c>
      <x:c r="J60" s="48" t="str">
        <x:v>fresh_sales</x:v>
      </x:c>
      <x:c r="K60" s="48" t="str">
        <x:v>鲜销</x:v>
      </x:c>
      <x:c r="L60" s="55" t="n">
        <x:v>119566.91423607702</x:v>
      </x:c>
      <x:c r="M60" s="54" t="n">
        <x:v>0.04141314302051308</x:v>
      </x:c>
      <x:c r="N60" s="54" t="n">
        <x:v>0.7672091985536691</x:v>
      </x:c>
      <x:c r="O60" s="55" t="n">
        <x:v>488685.8047665161</x:v>
      </x:c>
      <x:c r="P60" s="55" t="n">
        <x:v>1133280.5104378248</x:v>
      </x:c>
      <x:c r="Q60" s="55" t="n">
        <x:v>772925.4136496994</x:v>
      </x:c>
      <x:c r="R60" s="54" t="n">
        <x:v>0.7</x:v>
      </x:c>
      <x:c r="S60" s="54" t="n">
        <x:v>0.67</x:v>
      </x:c>
      <x:c r="T60" s="54" t="n">
        <x:v>0.26</x:v>
      </x:c>
      <x:c r="U60" s="54" t="n">
        <x:v>0.42</x:v>
      </x:c>
      <x:c r="V60" s="54" t="n">
        <x:v>0.7</x:v>
      </x:c>
      <x:c r="W60" s="53" t="str">
        <x:v>calibrated reconstruction; not historical author input</x:v>
      </x:c>
    </x:row>
    <x:row r="61" ht="28" hidden="0" customHeight="1">
      <x:c r="A61" s="48" t="str">
        <x:v>x_r08_s2_m2</x:v>
      </x:c>
      <x:c r="B61" s="48" t="str">
        <x:v>r08</x:v>
      </x:c>
      <x:c r="C61" s="48" t="str">
        <x:v>CN-HL</x:v>
      </x:c>
      <x:c r="D61" s="48" t="str">
        <x:v>Heilongjiang</x:v>
      </x:c>
      <x:c r="E61" s="48" t="str">
        <x:v>黑龙江</x:v>
      </x:c>
      <x:c r="F61" s="48" t="n">
        <x:v>2</x:v>
      </x:c>
      <x:c r="G61" s="48" t="str">
        <x:v>freshwater_capture</x:v>
      </x:c>
      <x:c r="H61" s="48" t="str">
        <x:v>淡水捕捞</x:v>
      </x:c>
      <x:c r="I61" s="48" t="n">
        <x:v>2</x:v>
      </x:c>
      <x:c r="J61" s="48" t="str">
        <x:v>deep_processing</x:v>
      </x:c>
      <x:c r="K61" s="48" t="str">
        <x:v>深加工</x:v>
      </x:c>
      <x:c r="L61" s="55" t="n">
        <x:v>53718.46871475924</x:v>
      </x:c>
      <x:c r="M61" s="54" t="n">
        <x:v>0.04141314302051308</x:v>
      </x:c>
      <x:c r="N61" s="54" t="n">
        <x:v>0.7672091985536691</x:v>
      </x:c>
      <x:c r="O61" s="55" t="n">
        <x:v>488685.8047665161</x:v>
      </x:c>
      <x:c r="P61" s="55" t="n">
        <x:v>1133280.5104378248</x:v>
      </x:c>
      <x:c r="Q61" s="55" t="n">
        <x:v>772925.4136496994</x:v>
      </x:c>
      <x:c r="R61" s="54" t="n">
        <x:v>0.86</x:v>
      </x:c>
      <x:c r="S61" s="54" t="n">
        <x:v>0.99</x:v>
      </x:c>
      <x:c r="T61" s="54" t="n">
        <x:v>0.34</x:v>
      </x:c>
      <x:c r="U61" s="54" t="n">
        <x:v>0.45</x:v>
      </x:c>
      <x:c r="V61" s="54" t="n">
        <x:v>0.7</x:v>
      </x:c>
      <x:c r="W61" s="53" t="str">
        <x:v>calibrated reconstruction; not historical author input</x:v>
      </x:c>
    </x:row>
    <x:row r="62" ht="28" hidden="0" customHeight="1">
      <x:c r="A62" s="48" t="str">
        <x:v>x_r08_s3_m1</x:v>
      </x:c>
      <x:c r="B62" s="48" t="str">
        <x:v>r08</x:v>
      </x:c>
      <x:c r="C62" s="48" t="str">
        <x:v>CN-HL</x:v>
      </x:c>
      <x:c r="D62" s="48" t="str">
        <x:v>Heilongjiang</x:v>
      </x:c>
      <x:c r="E62" s="48" t="str">
        <x:v>黑龙江</x:v>
      </x:c>
      <x:c r="F62" s="48" t="n">
        <x:v>3</x:v>
      </x:c>
      <x:c r="G62" s="48" t="str">
        <x:v>marine_aquaculture</x:v>
      </x:c>
      <x:c r="H62" s="48" t="str">
        <x:v>海水养殖</x:v>
      </x:c>
      <x:c r="I62" s="48" t="n">
        <x:v>1</x:v>
      </x:c>
      <x:c r="J62" s="48" t="str">
        <x:v>fresh_sales</x:v>
      </x:c>
      <x:c r="K62" s="48" t="str">
        <x:v>鲜销</x:v>
      </x:c>
      <x:c r="L62" s="55" t="n">
        <x:v>822327.5530113869</x:v>
      </x:c>
      <x:c r="M62" s="54" t="n">
        <x:v>0.04141314302051308</x:v>
      </x:c>
      <x:c r="N62" s="54" t="n">
        <x:v>0.7672091985536691</x:v>
      </x:c>
      <x:c r="O62" s="55" t="n">
        <x:v>488685.8047665161</x:v>
      </x:c>
      <x:c r="P62" s="55" t="n">
        <x:v>1133280.5104378248</x:v>
      </x:c>
      <x:c r="Q62" s="55" t="n">
        <x:v>772925.4136496994</x:v>
      </x:c>
      <x:c r="R62" s="54" t="n">
        <x:v>0.84</x:v>
      </x:c>
      <x:c r="S62" s="54" t="n">
        <x:v>0.8</x:v>
      </x:c>
      <x:c r="T62" s="54" t="n">
        <x:v>0.33</x:v>
      </x:c>
      <x:c r="U62" s="54" t="n">
        <x:v>0.78</x:v>
      </x:c>
      <x:c r="V62" s="54" t="n">
        <x:v>0.11</x:v>
      </x:c>
      <x:c r="W62" s="53" t="str">
        <x:v>calibrated reconstruction; not historical author input</x:v>
      </x:c>
    </x:row>
    <x:row r="63" ht="28" hidden="0" customHeight="1">
      <x:c r="A63" s="48" t="str">
        <x:v>x_r08_s3_m2</x:v>
      </x:c>
      <x:c r="B63" s="48" t="str">
        <x:v>r08</x:v>
      </x:c>
      <x:c r="C63" s="48" t="str">
        <x:v>CN-HL</x:v>
      </x:c>
      <x:c r="D63" s="48" t="str">
        <x:v>Heilongjiang</x:v>
      </x:c>
      <x:c r="E63" s="48" t="str">
        <x:v>黑龙江</x:v>
      </x:c>
      <x:c r="F63" s="48" t="n">
        <x:v>3</x:v>
      </x:c>
      <x:c r="G63" s="48" t="str">
        <x:v>marine_aquaculture</x:v>
      </x:c>
      <x:c r="H63" s="48" t="str">
        <x:v>海水养殖</x:v>
      </x:c>
      <x:c r="I63" s="48" t="n">
        <x:v>2</x:v>
      </x:c>
      <x:c r="J63" s="48" t="str">
        <x:v>deep_processing</x:v>
      </x:c>
      <x:c r="K63" s="48" t="str">
        <x:v>深加工</x:v>
      </x:c>
      <x:c r="L63" s="55" t="n">
        <x:v>369451.50932395644</x:v>
      </x:c>
      <x:c r="M63" s="54" t="n">
        <x:v>0.04141314302051308</x:v>
      </x:c>
      <x:c r="N63" s="54" t="n">
        <x:v>0.7672091985536691</x:v>
      </x:c>
      <x:c r="O63" s="55" t="n">
        <x:v>488685.8047665161</x:v>
      </x:c>
      <x:c r="P63" s="55" t="n">
        <x:v>1133280.5104378248</x:v>
      </x:c>
      <x:c r="Q63" s="55" t="n">
        <x:v>772925.4136496994</x:v>
      </x:c>
      <x:c r="R63" s="54" t="n">
        <x:v>1.02</x:v>
      </x:c>
      <x:c r="S63" s="54" t="n">
        <x:v>1.16</x:v>
      </x:c>
      <x:c r="T63" s="54" t="n">
        <x:v>0.41</x:v>
      </x:c>
      <x:c r="U63" s="54" t="n">
        <x:v>0.81</x:v>
      </x:c>
      <x:c r="V63" s="54" t="n">
        <x:v>0.11</x:v>
      </x:c>
      <x:c r="W63" s="53" t="str">
        <x:v>calibrated reconstruction; not historical author input</x:v>
      </x:c>
    </x:row>
    <x:row r="64" ht="28" hidden="0" customHeight="1">
      <x:c r="A64" s="48" t="str">
        <x:v>x_r08_s4_m1</x:v>
      </x:c>
      <x:c r="B64" s="48" t="str">
        <x:v>r08</x:v>
      </x:c>
      <x:c r="C64" s="48" t="str">
        <x:v>CN-HL</x:v>
      </x:c>
      <x:c r="D64" s="48" t="str">
        <x:v>Heilongjiang</x:v>
      </x:c>
      <x:c r="E64" s="48" t="str">
        <x:v>黑龙江</x:v>
      </x:c>
      <x:c r="F64" s="48" t="n">
        <x:v>4</x:v>
      </x:c>
      <x:c r="G64" s="48" t="str">
        <x:v>freshwater_aquaculture</x:v>
      </x:c>
      <x:c r="H64" s="48" t="str">
        <x:v>淡水养殖</x:v>
      </x:c>
      <x:c r="I64" s="48" t="n">
        <x:v>1</x:v>
      </x:c>
      <x:c r="J64" s="48" t="str">
        <x:v>fresh_sales</x:v>
      </x:c>
      <x:c r="K64" s="48" t="str">
        <x:v>鲜销</x:v>
      </x:c>
      <x:c r="L64" s="55" t="n">
        <x:v>1168827.5901853242</x:v>
      </x:c>
      <x:c r="M64" s="54" t="n">
        <x:v>0.04141314302051308</x:v>
      </x:c>
      <x:c r="N64" s="54" t="n">
        <x:v>0.7672091985536691</x:v>
      </x:c>
      <x:c r="O64" s="55" t="n">
        <x:v>488685.8047665161</x:v>
      </x:c>
      <x:c r="P64" s="55" t="n">
        <x:v>1133280.5104378248</x:v>
      </x:c>
      <x:c r="Q64" s="55" t="n">
        <x:v>772925.4136496994</x:v>
      </x:c>
      <x:c r="R64" s="54" t="n">
        <x:v>0.88</x:v>
      </x:c>
      <x:c r="S64" s="54" t="n">
        <x:v>0.84</x:v>
      </x:c>
      <x:c r="T64" s="54" t="n">
        <x:v>0.31</x:v>
      </x:c>
      <x:c r="U64" s="54" t="n">
        <x:v>0.88</x:v>
      </x:c>
      <x:c r="V64" s="54" t="n">
        <x:v>0.08</x:v>
      </x:c>
      <x:c r="W64" s="53" t="str">
        <x:v>calibrated reconstruction; not historical author input</x:v>
      </x:c>
    </x:row>
    <x:row r="65" ht="28" hidden="0" customHeight="1">
      <x:c r="A65" s="48" t="str">
        <x:v>x_r08_s4_m2</x:v>
      </x:c>
      <x:c r="B65" s="48" t="str">
        <x:v>r08</x:v>
      </x:c>
      <x:c r="C65" s="48" t="str">
        <x:v>CN-HL</x:v>
      </x:c>
      <x:c r="D65" s="48" t="str">
        <x:v>Heilongjiang</x:v>
      </x:c>
      <x:c r="E65" s="48" t="str">
        <x:v>黑龙江</x:v>
      </x:c>
      <x:c r="F65" s="48" t="n">
        <x:v>4</x:v>
      </x:c>
      <x:c r="G65" s="48" t="str">
        <x:v>freshwater_aquaculture</x:v>
      </x:c>
      <x:c r="H65" s="48" t="str">
        <x:v>淡水养殖</x:v>
      </x:c>
      <x:c r="I65" s="48" t="n">
        <x:v>2</x:v>
      </x:c>
      <x:c r="J65" s="48" t="str">
        <x:v>deep_processing</x:v>
      </x:c>
      <x:c r="K65" s="48" t="str">
        <x:v>深加工</x:v>
      </x:c>
      <x:c r="L65" s="55" t="n">
        <x:v>525125.4390687689</x:v>
      </x:c>
      <x:c r="M65" s="54" t="n">
        <x:v>0.04141314302051308</x:v>
      </x:c>
      <x:c r="N65" s="54" t="n">
        <x:v>0.7672091985536691</x:v>
      </x:c>
      <x:c r="O65" s="55" t="n">
        <x:v>488685.8047665161</x:v>
      </x:c>
      <x:c r="P65" s="55" t="n">
        <x:v>1133280.5104378248</x:v>
      </x:c>
      <x:c r="Q65" s="55" t="n">
        <x:v>772925.4136496994</x:v>
      </x:c>
      <x:c r="R65" s="54" t="n">
        <x:v>1.06</x:v>
      </x:c>
      <x:c r="S65" s="54" t="n">
        <x:v>1.2</x:v>
      </x:c>
      <x:c r="T65" s="54" t="n">
        <x:v>0.39</x:v>
      </x:c>
      <x:c r="U65" s="54" t="n">
        <x:v>0.91</x:v>
      </x:c>
      <x:c r="V65" s="54" t="n">
        <x:v>0.08</x:v>
      </x:c>
      <x:c r="W65" s="53" t="str">
        <x:v>calibrated reconstruction; not historical author input</x:v>
      </x:c>
    </x:row>
    <x:row r="66" ht="28" hidden="0" customHeight="1">
      <x:c r="A66" s="48" t="str">
        <x:v>x_r09_s1_m1</x:v>
      </x:c>
      <x:c r="B66" s="48" t="str">
        <x:v>r09</x:v>
      </x:c>
      <x:c r="C66" s="48" t="str">
        <x:v>CN-SH</x:v>
      </x:c>
      <x:c r="D66" s="48" t="str">
        <x:v>Shanghai</x:v>
      </x:c>
      <x:c r="E66" s="48" t="str">
        <x:v>上海</x:v>
      </x:c>
      <x:c r="F66" s="48" t="n">
        <x:v>1</x:v>
      </x:c>
      <x:c r="G66" s="48" t="str">
        <x:v>marine_capture</x:v>
      </x:c>
      <x:c r="H66" s="48" t="str">
        <x:v>海洋捕捞</x:v>
      </x:c>
      <x:c r="I66" s="48" t="n">
        <x:v>1</x:v>
      </x:c>
      <x:c r="J66" s="48" t="str">
        <x:v>fresh_sales</x:v>
      </x:c>
      <x:c r="K66" s="48" t="str">
        <x:v>鲜销</x:v>
      </x:c>
      <x:c r="L66" s="55" t="n">
        <x:v>363944.27535015607</x:v>
      </x:c>
      <x:c r="M66" s="54" t="n">
        <x:v>0.04575350561189124</x:v>
      </x:c>
      <x:c r="N66" s="54" t="n">
        <x:v>0.8236783715673804</x:v>
      </x:c>
      <x:c r="O66" s="55" t="n">
        <x:v>580911.4133750133</x:v>
      </x:c>
      <x:c r="P66" s="55" t="n">
        <x:v>1221612.9192286504</x:v>
      </x:c>
      <x:c r="Q66" s="55" t="n">
        <x:v>899965.1838710794</x:v>
      </x:c>
      <x:c r="R66" s="54" t="n">
        <x:v>0.65</x:v>
      </x:c>
      <x:c r="S66" s="54" t="n">
        <x:v>0.62</x:v>
      </x:c>
      <x:c r="T66" s="54" t="n">
        <x:v>0.29</x:v>
      </x:c>
      <x:c r="U66" s="54" t="n">
        <x:v>0.28</x:v>
      </x:c>
      <x:c r="V66" s="54" t="n">
        <x:v>1</x:v>
      </x:c>
      <x:c r="W66" s="53" t="str">
        <x:v>calibrated reconstruction; not historical author input</x:v>
      </x:c>
    </x:row>
    <x:row r="67" ht="28" hidden="0" customHeight="1">
      <x:c r="A67" s="48" t="str">
        <x:v>x_r09_s1_m2</x:v>
      </x:c>
      <x:c r="B67" s="48" t="str">
        <x:v>r09</x:v>
      </x:c>
      <x:c r="C67" s="48" t="str">
        <x:v>CN-SH</x:v>
      </x:c>
      <x:c r="D67" s="48" t="str">
        <x:v>Shanghai</x:v>
      </x:c>
      <x:c r="E67" s="48" t="str">
        <x:v>上海</x:v>
      </x:c>
      <x:c r="F67" s="48" t="n">
        <x:v>1</x:v>
      </x:c>
      <x:c r="G67" s="48" t="str">
        <x:v>marine_capture</x:v>
      </x:c>
      <x:c r="H67" s="48" t="str">
        <x:v>海洋捕捞</x:v>
      </x:c>
      <x:c r="I67" s="48" t="n">
        <x:v>2</x:v>
      </x:c>
      <x:c r="J67" s="48" t="str">
        <x:v>deep_processing</x:v>
      </x:c>
      <x:c r="K67" s="48" t="str">
        <x:v>深加工</x:v>
      </x:c>
      <x:c r="L67" s="55" t="n">
        <x:v>163511.19617180925</x:v>
      </x:c>
      <x:c r="M67" s="54" t="n">
        <x:v>0.04575350561189124</x:v>
      </x:c>
      <x:c r="N67" s="54" t="n">
        <x:v>0.8236783715673804</x:v>
      </x:c>
      <x:c r="O67" s="55" t="n">
        <x:v>580911.4133750133</x:v>
      </x:c>
      <x:c r="P67" s="55" t="n">
        <x:v>1221612.9192286504</x:v>
      </x:c>
      <x:c r="Q67" s="55" t="n">
        <x:v>899965.1838710794</x:v>
      </x:c>
      <x:c r="R67" s="54" t="n">
        <x:v>0.82</x:v>
      </x:c>
      <x:c r="S67" s="54" t="n">
        <x:v>0.95</x:v>
      </x:c>
      <x:c r="T67" s="54" t="n">
        <x:v>0.36</x:v>
      </x:c>
      <x:c r="U67" s="54" t="n">
        <x:v>0.31</x:v>
      </x:c>
      <x:c r="V67" s="54" t="n">
        <x:v>1</x:v>
      </x:c>
      <x:c r="W67" s="53" t="str">
        <x:v>calibrated reconstruction; not historical author input</x:v>
      </x:c>
    </x:row>
    <x:row r="68" ht="28" hidden="0" customHeight="1">
      <x:c r="A68" s="48" t="str">
        <x:v>x_r09_s2_m1</x:v>
      </x:c>
      <x:c r="B68" s="48" t="str">
        <x:v>r09</x:v>
      </x:c>
      <x:c r="C68" s="48" t="str">
        <x:v>CN-SH</x:v>
      </x:c>
      <x:c r="D68" s="48" t="str">
        <x:v>Shanghai</x:v>
      </x:c>
      <x:c r="E68" s="48" t="str">
        <x:v>上海</x:v>
      </x:c>
      <x:c r="F68" s="48" t="n">
        <x:v>2</x:v>
      </x:c>
      <x:c r="G68" s="48" t="str">
        <x:v>freshwater_capture</x:v>
      </x:c>
      <x:c r="H68" s="48" t="str">
        <x:v>淡水捕捞</x:v>
      </x:c>
      <x:c r="I68" s="48" t="n">
        <x:v>1</x:v>
      </x:c>
      <x:c r="J68" s="48" t="str">
        <x:v>fresh_sales</x:v>
      </x:c>
      <x:c r="K68" s="48" t="str">
        <x:v>鲜销</x:v>
      </x:c>
      <x:c r="L68" s="55" t="n">
        <x:v>132098.2925345011</x:v>
      </x:c>
      <x:c r="M68" s="54" t="n">
        <x:v>0.04575350561189124</x:v>
      </x:c>
      <x:c r="N68" s="54" t="n">
        <x:v>0.8236783715673804</x:v>
      </x:c>
      <x:c r="O68" s="55" t="n">
        <x:v>580911.4133750133</x:v>
      </x:c>
      <x:c r="P68" s="55" t="n">
        <x:v>1221612.9192286504</x:v>
      </x:c>
      <x:c r="Q68" s="55" t="n">
        <x:v>899965.1838710794</x:v>
      </x:c>
      <x:c r="R68" s="54" t="n">
        <x:v>0.7</x:v>
      </x:c>
      <x:c r="S68" s="54" t="n">
        <x:v>0.67</x:v>
      </x:c>
      <x:c r="T68" s="54" t="n">
        <x:v>0.26</x:v>
      </x:c>
      <x:c r="U68" s="54" t="n">
        <x:v>0.42</x:v>
      </x:c>
      <x:c r="V68" s="54" t="n">
        <x:v>0.7</x:v>
      </x:c>
      <x:c r="W68" s="53" t="str">
        <x:v>calibrated reconstruction; not historical author input</x:v>
      </x:c>
    </x:row>
    <x:row r="69" ht="28" hidden="0" customHeight="1">
      <x:c r="A69" s="48" t="str">
        <x:v>x_r09_s2_m2</x:v>
      </x:c>
      <x:c r="B69" s="48" t="str">
        <x:v>r09</x:v>
      </x:c>
      <x:c r="C69" s="48" t="str">
        <x:v>CN-SH</x:v>
      </x:c>
      <x:c r="D69" s="48" t="str">
        <x:v>Shanghai</x:v>
      </x:c>
      <x:c r="E69" s="48" t="str">
        <x:v>上海</x:v>
      </x:c>
      <x:c r="F69" s="48" t="n">
        <x:v>2</x:v>
      </x:c>
      <x:c r="G69" s="48" t="str">
        <x:v>freshwater_capture</x:v>
      </x:c>
      <x:c r="H69" s="48" t="str">
        <x:v>淡水捕捞</x:v>
      </x:c>
      <x:c r="I69" s="48" t="n">
        <x:v>2</x:v>
      </x:c>
      <x:c r="J69" s="48" t="str">
        <x:v>deep_processing</x:v>
      </x:c>
      <x:c r="K69" s="48" t="str">
        <x:v>深加工</x:v>
      </x:c>
      <x:c r="L69" s="55" t="n">
        <x:v>59348.50824013817</x:v>
      </x:c>
      <x:c r="M69" s="54" t="n">
        <x:v>0.04575350561189124</x:v>
      </x:c>
      <x:c r="N69" s="54" t="n">
        <x:v>0.8236783715673804</x:v>
      </x:c>
      <x:c r="O69" s="55" t="n">
        <x:v>580911.4133750133</x:v>
      </x:c>
      <x:c r="P69" s="55" t="n">
        <x:v>1221612.9192286504</x:v>
      </x:c>
      <x:c r="Q69" s="55" t="n">
        <x:v>899965.1838710794</x:v>
      </x:c>
      <x:c r="R69" s="54" t="n">
        <x:v>0.86</x:v>
      </x:c>
      <x:c r="S69" s="54" t="n">
        <x:v>0.99</x:v>
      </x:c>
      <x:c r="T69" s="54" t="n">
        <x:v>0.34</x:v>
      </x:c>
      <x:c r="U69" s="54" t="n">
        <x:v>0.45</x:v>
      </x:c>
      <x:c r="V69" s="54" t="n">
        <x:v>0.7</x:v>
      </x:c>
      <x:c r="W69" s="53" t="str">
        <x:v>calibrated reconstruction; not historical author input</x:v>
      </x:c>
    </x:row>
    <x:row r="70" ht="28" hidden="0" customHeight="1">
      <x:c r="A70" s="48" t="str">
        <x:v>x_r09_s3_m1</x:v>
      </x:c>
      <x:c r="B70" s="48" t="str">
        <x:v>r09</x:v>
      </x:c>
      <x:c r="C70" s="48" t="str">
        <x:v>CN-SH</x:v>
      </x:c>
      <x:c r="D70" s="48" t="str">
        <x:v>Shanghai</x:v>
      </x:c>
      <x:c r="E70" s="48" t="str">
        <x:v>上海</x:v>
      </x:c>
      <x:c r="F70" s="48" t="n">
        <x:v>3</x:v>
      </x:c>
      <x:c r="G70" s="48" t="str">
        <x:v>marine_aquaculture</x:v>
      </x:c>
      <x:c r="H70" s="48" t="str">
        <x:v>海水养殖</x:v>
      </x:c>
      <x:c r="I70" s="48" t="n">
        <x:v>1</x:v>
      </x:c>
      <x:c r="J70" s="48" t="str">
        <x:v>fresh_sales</x:v>
      </x:c>
      <x:c r="K70" s="48" t="str">
        <x:v>鲜销</x:v>
      </x:c>
      <x:c r="L70" s="55" t="n">
        <x:v>908512.7466148341</x:v>
      </x:c>
      <x:c r="M70" s="54" t="n">
        <x:v>0.04575350561189124</x:v>
      </x:c>
      <x:c r="N70" s="54" t="n">
        <x:v>0.8236783715673804</x:v>
      </x:c>
      <x:c r="O70" s="55" t="n">
        <x:v>580911.4133750133</x:v>
      </x:c>
      <x:c r="P70" s="55" t="n">
        <x:v>1221612.9192286504</x:v>
      </x:c>
      <x:c r="Q70" s="55" t="n">
        <x:v>899965.1838710794</x:v>
      </x:c>
      <x:c r="R70" s="54" t="n">
        <x:v>0.84</x:v>
      </x:c>
      <x:c r="S70" s="54" t="n">
        <x:v>0.8</x:v>
      </x:c>
      <x:c r="T70" s="54" t="n">
        <x:v>0.33</x:v>
      </x:c>
      <x:c r="U70" s="54" t="n">
        <x:v>0.78</x:v>
      </x:c>
      <x:c r="V70" s="54" t="n">
        <x:v>0.11</x:v>
      </x:c>
      <x:c r="W70" s="53" t="str">
        <x:v>calibrated reconstruction; not historical author input</x:v>
      </x:c>
    </x:row>
    <x:row r="71" ht="28" hidden="0" customHeight="1">
      <x:c r="A71" s="48" t="str">
        <x:v>x_r09_s3_m2</x:v>
      </x:c>
      <x:c r="B71" s="48" t="str">
        <x:v>r09</x:v>
      </x:c>
      <x:c r="C71" s="48" t="str">
        <x:v>CN-SH</x:v>
      </x:c>
      <x:c r="D71" s="48" t="str">
        <x:v>Shanghai</x:v>
      </x:c>
      <x:c r="E71" s="48" t="str">
        <x:v>上海</x:v>
      </x:c>
      <x:c r="F71" s="48" t="n">
        <x:v>3</x:v>
      </x:c>
      <x:c r="G71" s="48" t="str">
        <x:v>marine_aquaculture</x:v>
      </x:c>
      <x:c r="H71" s="48" t="str">
        <x:v>海水养殖</x:v>
      </x:c>
      <x:c r="I71" s="48" t="n">
        <x:v>2</x:v>
      </x:c>
      <x:c r="J71" s="48" t="str">
        <x:v>deep_processing</x:v>
      </x:c>
      <x:c r="K71" s="48" t="str">
        <x:v>深加工</x:v>
      </x:c>
      <x:c r="L71" s="55" t="n">
        <x:v>408172.3934066646</x:v>
      </x:c>
      <x:c r="M71" s="54" t="n">
        <x:v>0.04575350561189124</x:v>
      </x:c>
      <x:c r="N71" s="54" t="n">
        <x:v>0.8236783715673804</x:v>
      </x:c>
      <x:c r="O71" s="55" t="n">
        <x:v>580911.4133750133</x:v>
      </x:c>
      <x:c r="P71" s="55" t="n">
        <x:v>1221612.9192286504</x:v>
      </x:c>
      <x:c r="Q71" s="55" t="n">
        <x:v>899965.1838710794</x:v>
      </x:c>
      <x:c r="R71" s="54" t="n">
        <x:v>1.02</x:v>
      </x:c>
      <x:c r="S71" s="54" t="n">
        <x:v>1.16</x:v>
      </x:c>
      <x:c r="T71" s="54" t="n">
        <x:v>0.41</x:v>
      </x:c>
      <x:c r="U71" s="54" t="n">
        <x:v>0.81</x:v>
      </x:c>
      <x:c r="V71" s="54" t="n">
        <x:v>0.11</x:v>
      </x:c>
      <x:c r="W71" s="53" t="str">
        <x:v>calibrated reconstruction; not historical author input</x:v>
      </x:c>
    </x:row>
    <x:row r="72" ht="28" hidden="0" customHeight="1">
      <x:c r="A72" s="48" t="str">
        <x:v>x_r09_s4_m1</x:v>
      </x:c>
      <x:c r="B72" s="48" t="str">
        <x:v>r09</x:v>
      </x:c>
      <x:c r="C72" s="48" t="str">
        <x:v>CN-SH</x:v>
      </x:c>
      <x:c r="D72" s="48" t="str">
        <x:v>Shanghai</x:v>
      </x:c>
      <x:c r="E72" s="48" t="str">
        <x:v>上海</x:v>
      </x:c>
      <x:c r="F72" s="48" t="n">
        <x:v>4</x:v>
      </x:c>
      <x:c r="G72" s="48" t="str">
        <x:v>freshwater_aquaculture</x:v>
      </x:c>
      <x:c r="H72" s="48" t="str">
        <x:v>淡水养殖</x:v>
      </x:c>
      <x:c r="I72" s="48" t="n">
        <x:v>1</x:v>
      </x:c>
      <x:c r="J72" s="48" t="str">
        <x:v>fresh_sales</x:v>
      </x:c>
      <x:c r="K72" s="48" t="str">
        <x:v>鲜销</x:v>
      </x:c>
      <x:c r="L72" s="55" t="n">
        <x:v>1291328.2066127758</x:v>
      </x:c>
      <x:c r="M72" s="54" t="n">
        <x:v>0.04575350561189124</x:v>
      </x:c>
      <x:c r="N72" s="54" t="n">
        <x:v>0.8236783715673804</x:v>
      </x:c>
      <x:c r="O72" s="55" t="n">
        <x:v>580911.4133750133</x:v>
      </x:c>
      <x:c r="P72" s="55" t="n">
        <x:v>1221612.9192286504</x:v>
      </x:c>
      <x:c r="Q72" s="55" t="n">
        <x:v>899965.1838710794</x:v>
      </x:c>
      <x:c r="R72" s="54" t="n">
        <x:v>0.88</x:v>
      </x:c>
      <x:c r="S72" s="54" t="n">
        <x:v>0.84</x:v>
      </x:c>
      <x:c r="T72" s="54" t="n">
        <x:v>0.31</x:v>
      </x:c>
      <x:c r="U72" s="54" t="n">
        <x:v>0.88</x:v>
      </x:c>
      <x:c r="V72" s="54" t="n">
        <x:v>0.08</x:v>
      </x:c>
      <x:c r="W72" s="53" t="str">
        <x:v>calibrated reconstruction; not historical author input</x:v>
      </x:c>
    </x:row>
    <x:row r="73" ht="28" hidden="0" customHeight="1">
      <x:c r="A73" s="48" t="str">
        <x:v>x_r09_s4_m2</x:v>
      </x:c>
      <x:c r="B73" s="48" t="str">
        <x:v>r09</x:v>
      </x:c>
      <x:c r="C73" s="48" t="str">
        <x:v>CN-SH</x:v>
      </x:c>
      <x:c r="D73" s="48" t="str">
        <x:v>Shanghai</x:v>
      </x:c>
      <x:c r="E73" s="48" t="str">
        <x:v>上海</x:v>
      </x:c>
      <x:c r="F73" s="48" t="n">
        <x:v>4</x:v>
      </x:c>
      <x:c r="G73" s="48" t="str">
        <x:v>freshwater_aquaculture</x:v>
      </x:c>
      <x:c r="H73" s="48" t="str">
        <x:v>淡水养殖</x:v>
      </x:c>
      <x:c r="I73" s="48" t="n">
        <x:v>2</x:v>
      </x:c>
      <x:c r="J73" s="48" t="str">
        <x:v>deep_processing</x:v>
      </x:c>
      <x:c r="K73" s="48" t="str">
        <x:v>深加工</x:v>
      </x:c>
      <x:c r="L73" s="55" t="n">
        <x:v>580161.9478984935</x:v>
      </x:c>
      <x:c r="M73" s="54" t="n">
        <x:v>0.04575350561189124</x:v>
      </x:c>
      <x:c r="N73" s="54" t="n">
        <x:v>0.8236783715673804</x:v>
      </x:c>
      <x:c r="O73" s="55" t="n">
        <x:v>580911.4133750133</x:v>
      </x:c>
      <x:c r="P73" s="55" t="n">
        <x:v>1221612.9192286504</x:v>
      </x:c>
      <x:c r="Q73" s="55" t="n">
        <x:v>899965.1838710794</x:v>
      </x:c>
      <x:c r="R73" s="54" t="n">
        <x:v>1.06</x:v>
      </x:c>
      <x:c r="S73" s="54" t="n">
        <x:v>1.2</x:v>
      </x:c>
      <x:c r="T73" s="54" t="n">
        <x:v>0.39</x:v>
      </x:c>
      <x:c r="U73" s="54" t="n">
        <x:v>0.91</x:v>
      </x:c>
      <x:c r="V73" s="54" t="n">
        <x:v>0.08</x:v>
      </x:c>
      <x:c r="W73" s="53" t="str">
        <x:v>calibrated reconstruction; not historical author input</x:v>
      </x:c>
    </x:row>
    <x:row r="74" ht="28" hidden="0" customHeight="1">
      <x:c r="A74" s="48" t="str">
        <x:v>x_r10_s1_m1</x:v>
      </x:c>
      <x:c r="B74" s="48" t="str">
        <x:v>r10</x:v>
      </x:c>
      <x:c r="C74" s="48" t="str">
        <x:v>CN-JS</x:v>
      </x:c>
      <x:c r="D74" s="48" t="str">
        <x:v>Jiangsu</x:v>
      </x:c>
      <x:c r="E74" s="48" t="str">
        <x:v>江苏</x:v>
      </x:c>
      <x:c r="F74" s="48" t="n">
        <x:v>1</x:v>
      </x:c>
      <x:c r="G74" s="48" t="str">
        <x:v>marine_capture</x:v>
      </x:c>
      <x:c r="H74" s="48" t="str">
        <x:v>海洋捕捞</x:v>
      </x:c>
      <x:c r="I74" s="48" t="n">
        <x:v>1</x:v>
      </x:c>
      <x:c r="J74" s="48" t="str">
        <x:v>fresh_sales</x:v>
      </x:c>
      <x:c r="K74" s="48" t="str">
        <x:v>鲜销</x:v>
      </x:c>
      <x:c r="L74" s="55" t="n">
        <x:v>346659.3707566505</x:v>
      </x:c>
      <x:c r="M74" s="54" t="n">
        <x:v>0.04358052190838587</x:v>
      </x:c>
      <x:c r="N74" s="54" t="n">
        <x:v>0.6930065164429888</x:v>
      </x:c>
      <x:c r="O74" s="55" t="n">
        <x:v>505068.1835816982</x:v>
      </x:c>
      <x:c r="P74" s="55" t="n">
        <x:v>1134597.6989740615</x:v>
      </x:c>
      <x:c r="Q74" s="55" t="n">
        <x:v>862726.890377658</x:v>
      </x:c>
      <x:c r="R74" s="54" t="n">
        <x:v>0.65</x:v>
      </x:c>
      <x:c r="S74" s="54" t="n">
        <x:v>0.62</x:v>
      </x:c>
      <x:c r="T74" s="54" t="n">
        <x:v>0.29</x:v>
      </x:c>
      <x:c r="U74" s="54" t="n">
        <x:v>0.28</x:v>
      </x:c>
      <x:c r="V74" s="54" t="n">
        <x:v>1</x:v>
      </x:c>
      <x:c r="W74" s="53" t="str">
        <x:v>calibrated reconstruction; not historical author input</x:v>
      </x:c>
    </x:row>
    <x:row r="75" ht="28" hidden="0" customHeight="1">
      <x:c r="A75" s="48" t="str">
        <x:v>x_r10_s1_m2</x:v>
      </x:c>
      <x:c r="B75" s="48" t="str">
        <x:v>r10</x:v>
      </x:c>
      <x:c r="C75" s="48" t="str">
        <x:v>CN-JS</x:v>
      </x:c>
      <x:c r="D75" s="48" t="str">
        <x:v>Jiangsu</x:v>
      </x:c>
      <x:c r="E75" s="48" t="str">
        <x:v>江苏</x:v>
      </x:c>
      <x:c r="F75" s="48" t="n">
        <x:v>1</x:v>
      </x:c>
      <x:c r="G75" s="48" t="str">
        <x:v>marine_capture</x:v>
      </x:c>
      <x:c r="H75" s="48" t="str">
        <x:v>海洋捕捞</x:v>
      </x:c>
      <x:c r="I75" s="48" t="n">
        <x:v>2</x:v>
      </x:c>
      <x:c r="J75" s="48" t="str">
        <x:v>deep_processing</x:v>
      </x:c>
      <x:c r="K75" s="48" t="str">
        <x:v>深加工</x:v>
      </x:c>
      <x:c r="L75" s="55" t="n">
        <x:v>155745.51439791548</x:v>
      </x:c>
      <x:c r="M75" s="54" t="n">
        <x:v>0.04358052190838587</x:v>
      </x:c>
      <x:c r="N75" s="54" t="n">
        <x:v>0.6930065164429888</x:v>
      </x:c>
      <x:c r="O75" s="55" t="n">
        <x:v>505068.1835816982</x:v>
      </x:c>
      <x:c r="P75" s="55" t="n">
        <x:v>1134597.6989740615</x:v>
      </x:c>
      <x:c r="Q75" s="55" t="n">
        <x:v>862726.890377658</x:v>
      </x:c>
      <x:c r="R75" s="54" t="n">
        <x:v>0.82</x:v>
      </x:c>
      <x:c r="S75" s="54" t="n">
        <x:v>0.95</x:v>
      </x:c>
      <x:c r="T75" s="54" t="n">
        <x:v>0.36</x:v>
      </x:c>
      <x:c r="U75" s="54" t="n">
        <x:v>0.31</x:v>
      </x:c>
      <x:c r="V75" s="54" t="n">
        <x:v>1</x:v>
      </x:c>
      <x:c r="W75" s="53" t="str">
        <x:v>calibrated reconstruction; not historical author input</x:v>
      </x:c>
    </x:row>
    <x:row r="76" ht="28" hidden="0" customHeight="1">
      <x:c r="A76" s="48" t="str">
        <x:v>x_r10_s2_m1</x:v>
      </x:c>
      <x:c r="B76" s="48" t="str">
        <x:v>r10</x:v>
      </x:c>
      <x:c r="C76" s="48" t="str">
        <x:v>CN-JS</x:v>
      </x:c>
      <x:c r="D76" s="48" t="str">
        <x:v>Jiangsu</x:v>
      </x:c>
      <x:c r="E76" s="48" t="str">
        <x:v>江苏</x:v>
      </x:c>
      <x:c r="F76" s="48" t="n">
        <x:v>2</x:v>
      </x:c>
      <x:c r="G76" s="48" t="str">
        <x:v>freshwater_capture</x:v>
      </x:c>
      <x:c r="H76" s="48" t="str">
        <x:v>淡水捕捞</x:v>
      </x:c>
      <x:c r="I76" s="48" t="n">
        <x:v>1</x:v>
      </x:c>
      <x:c r="J76" s="48" t="str">
        <x:v>fresh_sales</x:v>
      </x:c>
      <x:c r="K76" s="48" t="str">
        <x:v>鲜销</x:v>
      </x:c>
      <x:c r="L76" s="55" t="n">
        <x:v>125824.5123487102</x:v>
      </x:c>
      <x:c r="M76" s="54" t="n">
        <x:v>0.04358052190838587</x:v>
      </x:c>
      <x:c r="N76" s="54" t="n">
        <x:v>0.6930065164429888</x:v>
      </x:c>
      <x:c r="O76" s="55" t="n">
        <x:v>505068.1835816982</x:v>
      </x:c>
      <x:c r="P76" s="55" t="n">
        <x:v>1134597.6989740615</x:v>
      </x:c>
      <x:c r="Q76" s="55" t="n">
        <x:v>862726.890377658</x:v>
      </x:c>
      <x:c r="R76" s="54" t="n">
        <x:v>0.7</x:v>
      </x:c>
      <x:c r="S76" s="54" t="n">
        <x:v>0.67</x:v>
      </x:c>
      <x:c r="T76" s="54" t="n">
        <x:v>0.26</x:v>
      </x:c>
      <x:c r="U76" s="54" t="n">
        <x:v>0.42</x:v>
      </x:c>
      <x:c r="V76" s="54" t="n">
        <x:v>0.7</x:v>
      </x:c>
      <x:c r="W76" s="53" t="str">
        <x:v>calibrated reconstruction; not historical author input</x:v>
      </x:c>
    </x:row>
    <x:row r="77" ht="28" hidden="0" customHeight="1">
      <x:c r="A77" s="48" t="str">
        <x:v>x_r10_s2_m2</x:v>
      </x:c>
      <x:c r="B77" s="48" t="str">
        <x:v>r10</x:v>
      </x:c>
      <x:c r="C77" s="48" t="str">
        <x:v>CN-JS</x:v>
      </x:c>
      <x:c r="D77" s="48" t="str">
        <x:v>Jiangsu</x:v>
      </x:c>
      <x:c r="E77" s="48" t="str">
        <x:v>江苏</x:v>
      </x:c>
      <x:c r="F77" s="48" t="n">
        <x:v>2</x:v>
      </x:c>
      <x:c r="G77" s="48" t="str">
        <x:v>freshwater_capture</x:v>
      </x:c>
      <x:c r="H77" s="48" t="str">
        <x:v>淡水捕捞</x:v>
      </x:c>
      <x:c r="I77" s="48" t="n">
        <x:v>2</x:v>
      </x:c>
      <x:c r="J77" s="48" t="str">
        <x:v>deep_processing</x:v>
      </x:c>
      <x:c r="K77" s="48" t="str">
        <x:v>深加工</x:v>
      </x:c>
      <x:c r="L77" s="55" t="n">
        <x:v>56529.853374058206</x:v>
      </x:c>
      <x:c r="M77" s="54" t="n">
        <x:v>0.04358052190838587</x:v>
      </x:c>
      <x:c r="N77" s="54" t="n">
        <x:v>0.6930065164429888</x:v>
      </x:c>
      <x:c r="O77" s="55" t="n">
        <x:v>505068.1835816982</x:v>
      </x:c>
      <x:c r="P77" s="55" t="n">
        <x:v>1134597.6989740615</x:v>
      </x:c>
      <x:c r="Q77" s="55" t="n">
        <x:v>862726.890377658</x:v>
      </x:c>
      <x:c r="R77" s="54" t="n">
        <x:v>0.86</x:v>
      </x:c>
      <x:c r="S77" s="54" t="n">
        <x:v>0.99</x:v>
      </x:c>
      <x:c r="T77" s="54" t="n">
        <x:v>0.34</x:v>
      </x:c>
      <x:c r="U77" s="54" t="n">
        <x:v>0.45</x:v>
      </x:c>
      <x:c r="V77" s="54" t="n">
        <x:v>0.7</x:v>
      </x:c>
      <x:c r="W77" s="53" t="str">
        <x:v>calibrated reconstruction; not historical author input</x:v>
      </x:c>
    </x:row>
    <x:row r="78" ht="28" hidden="0" customHeight="1">
      <x:c r="A78" s="48" t="str">
        <x:v>x_r10_s3_m1</x:v>
      </x:c>
      <x:c r="B78" s="48" t="str">
        <x:v>r10</x:v>
      </x:c>
      <x:c r="C78" s="48" t="str">
        <x:v>CN-JS</x:v>
      </x:c>
      <x:c r="D78" s="48" t="str">
        <x:v>Jiangsu</x:v>
      </x:c>
      <x:c r="E78" s="48" t="str">
        <x:v>江苏</x:v>
      </x:c>
      <x:c r="F78" s="48" t="n">
        <x:v>3</x:v>
      </x:c>
      <x:c r="G78" s="48" t="str">
        <x:v>marine_aquaculture</x:v>
      </x:c>
      <x:c r="H78" s="48" t="str">
        <x:v>海水养殖</x:v>
      </x:c>
      <x:c r="I78" s="48" t="n">
        <x:v>1</x:v>
      </x:c>
      <x:c r="J78" s="48" t="str">
        <x:v>fresh_sales</x:v>
      </x:c>
      <x:c r="K78" s="48" t="str">
        <x:v>鲜销</x:v>
      </x:c>
      <x:c r="L78" s="55" t="n">
        <x:v>865364.5032962314</x:v>
      </x:c>
      <x:c r="M78" s="54" t="n">
        <x:v>0.04358052190838587</x:v>
      </x:c>
      <x:c r="N78" s="54" t="n">
        <x:v>0.6930065164429888</x:v>
      </x:c>
      <x:c r="O78" s="55" t="n">
        <x:v>505068.1835816982</x:v>
      </x:c>
      <x:c r="P78" s="55" t="n">
        <x:v>1134597.6989740615</x:v>
      </x:c>
      <x:c r="Q78" s="55" t="n">
        <x:v>862726.890377658</x:v>
      </x:c>
      <x:c r="R78" s="54" t="n">
        <x:v>0.84</x:v>
      </x:c>
      <x:c r="S78" s="54" t="n">
        <x:v>0.8</x:v>
      </x:c>
      <x:c r="T78" s="54" t="n">
        <x:v>0.33</x:v>
      </x:c>
      <x:c r="U78" s="54" t="n">
        <x:v>0.78</x:v>
      </x:c>
      <x:c r="V78" s="54" t="n">
        <x:v>0.11</x:v>
      </x:c>
      <x:c r="W78" s="53" t="str">
        <x:v>calibrated reconstruction; not historical author input</x:v>
      </x:c>
    </x:row>
    <x:row r="79" ht="28" hidden="0" customHeight="1">
      <x:c r="A79" s="48" t="str">
        <x:v>x_r10_s3_m2</x:v>
      </x:c>
      <x:c r="B79" s="48" t="str">
        <x:v>r10</x:v>
      </x:c>
      <x:c r="C79" s="48" t="str">
        <x:v>CN-JS</x:v>
      </x:c>
      <x:c r="D79" s="48" t="str">
        <x:v>Jiangsu</x:v>
      </x:c>
      <x:c r="E79" s="48" t="str">
        <x:v>江苏</x:v>
      </x:c>
      <x:c r="F79" s="48" t="n">
        <x:v>3</x:v>
      </x:c>
      <x:c r="G79" s="48" t="str">
        <x:v>marine_aquaculture</x:v>
      </x:c>
      <x:c r="H79" s="48" t="str">
        <x:v>海水养殖</x:v>
      </x:c>
      <x:c r="I79" s="48" t="n">
        <x:v>2</x:v>
      </x:c>
      <x:c r="J79" s="48" t="str">
        <x:v>deep_processing</x:v>
      </x:c>
      <x:c r="K79" s="48" t="str">
        <x:v>深加工</x:v>
      </x:c>
      <x:c r="L79" s="55" t="n">
        <x:v>388786.9507562779</x:v>
      </x:c>
      <x:c r="M79" s="54" t="n">
        <x:v>0.04358052190838587</x:v>
      </x:c>
      <x:c r="N79" s="54" t="n">
        <x:v>0.6930065164429888</x:v>
      </x:c>
      <x:c r="O79" s="55" t="n">
        <x:v>505068.1835816982</x:v>
      </x:c>
      <x:c r="P79" s="55" t="n">
        <x:v>1134597.6989740615</x:v>
      </x:c>
      <x:c r="Q79" s="55" t="n">
        <x:v>862726.890377658</x:v>
      </x:c>
      <x:c r="R79" s="54" t="n">
        <x:v>1.02</x:v>
      </x:c>
      <x:c r="S79" s="54" t="n">
        <x:v>1.16</x:v>
      </x:c>
      <x:c r="T79" s="54" t="n">
        <x:v>0.41</x:v>
      </x:c>
      <x:c r="U79" s="54" t="n">
        <x:v>0.81</x:v>
      </x:c>
      <x:c r="V79" s="54" t="n">
        <x:v>0.11</x:v>
      </x:c>
      <x:c r="W79" s="53" t="str">
        <x:v>calibrated reconstruction; not historical author input</x:v>
      </x:c>
    </x:row>
    <x:row r="80" ht="28" hidden="0" customHeight="1">
      <x:c r="A80" s="48" t="str">
        <x:v>x_r10_s4_m1</x:v>
      </x:c>
      <x:c r="B80" s="48" t="str">
        <x:v>r10</x:v>
      </x:c>
      <x:c r="C80" s="48" t="str">
        <x:v>CN-JS</x:v>
      </x:c>
      <x:c r="D80" s="48" t="str">
        <x:v>Jiangsu</x:v>
      </x:c>
      <x:c r="E80" s="48" t="str">
        <x:v>江苏</x:v>
      </x:c>
      <x:c r="F80" s="48" t="n">
        <x:v>4</x:v>
      </x:c>
      <x:c r="G80" s="48" t="str">
        <x:v>freshwater_aquaculture</x:v>
      </x:c>
      <x:c r="H80" s="48" t="str">
        <x:v>淡水养殖</x:v>
      </x:c>
      <x:c r="I80" s="48" t="n">
        <x:v>1</x:v>
      </x:c>
      <x:c r="J80" s="48" t="str">
        <x:v>fresh_sales</x:v>
      </x:c>
      <x:c r="K80" s="48" t="str">
        <x:v>鲜销</x:v>
      </x:c>
      <x:c r="L80" s="55" t="n">
        <x:v>1229998.8043884118</x:v>
      </x:c>
      <x:c r="M80" s="54" t="n">
        <x:v>0.04358052190838587</x:v>
      </x:c>
      <x:c r="N80" s="54" t="n">
        <x:v>0.6930065164429888</x:v>
      </x:c>
      <x:c r="O80" s="55" t="n">
        <x:v>505068.1835816982</x:v>
      </x:c>
      <x:c r="P80" s="55" t="n">
        <x:v>1134597.6989740615</x:v>
      </x:c>
      <x:c r="Q80" s="55" t="n">
        <x:v>862726.890377658</x:v>
      </x:c>
      <x:c r="R80" s="54" t="n">
        <x:v>0.88</x:v>
      </x:c>
      <x:c r="S80" s="54" t="n">
        <x:v>0.84</x:v>
      </x:c>
      <x:c r="T80" s="54" t="n">
        <x:v>0.31</x:v>
      </x:c>
      <x:c r="U80" s="54" t="n">
        <x:v>0.88</x:v>
      </x:c>
      <x:c r="V80" s="54" t="n">
        <x:v>0.08</x:v>
      </x:c>
      <x:c r="W80" s="53" t="str">
        <x:v>calibrated reconstruction; not historical author input</x:v>
      </x:c>
    </x:row>
    <x:row r="81" ht="28" hidden="0" customHeight="1">
      <x:c r="A81" s="48" t="str">
        <x:v>x_r10_s4_m2</x:v>
      </x:c>
      <x:c r="B81" s="48" t="str">
        <x:v>r10</x:v>
      </x:c>
      <x:c r="C81" s="48" t="str">
        <x:v>CN-JS</x:v>
      </x:c>
      <x:c r="D81" s="48" t="str">
        <x:v>Jiangsu</x:v>
      </x:c>
      <x:c r="E81" s="48" t="str">
        <x:v>江苏</x:v>
      </x:c>
      <x:c r="F81" s="48" t="n">
        <x:v>4</x:v>
      </x:c>
      <x:c r="G81" s="48" t="str">
        <x:v>freshwater_aquaculture</x:v>
      </x:c>
      <x:c r="H81" s="48" t="str">
        <x:v>淡水养殖</x:v>
      </x:c>
      <x:c r="I81" s="48" t="n">
        <x:v>2</x:v>
      </x:c>
      <x:c r="J81" s="48" t="str">
        <x:v>deep_processing</x:v>
      </x:c>
      <x:c r="K81" s="48" t="str">
        <x:v>深加工</x:v>
      </x:c>
      <x:c r="L81" s="55" t="n">
        <x:v>552608.1584933444</x:v>
      </x:c>
      <x:c r="M81" s="54" t="n">
        <x:v>0.04358052190838587</x:v>
      </x:c>
      <x:c r="N81" s="54" t="n">
        <x:v>0.6930065164429888</x:v>
      </x:c>
      <x:c r="O81" s="55" t="n">
        <x:v>505068.1835816982</x:v>
      </x:c>
      <x:c r="P81" s="55" t="n">
        <x:v>1134597.6989740615</x:v>
      </x:c>
      <x:c r="Q81" s="55" t="n">
        <x:v>862726.890377658</x:v>
      </x:c>
      <x:c r="R81" s="54" t="n">
        <x:v>1.06</x:v>
      </x:c>
      <x:c r="S81" s="54" t="n">
        <x:v>1.2</x:v>
      </x:c>
      <x:c r="T81" s="54" t="n">
        <x:v>0.39</x:v>
      </x:c>
      <x:c r="U81" s="54" t="n">
        <x:v>0.91</x:v>
      </x:c>
      <x:c r="V81" s="54" t="n">
        <x:v>0.08</x:v>
      </x:c>
      <x:c r="W81" s="53" t="str">
        <x:v>calibrated reconstruction; not historical author input</x:v>
      </x:c>
    </x:row>
    <x:row r="82" ht="28" hidden="0" customHeight="1">
      <x:c r="A82" s="48" t="str">
        <x:v>x_r11_s1_m1</x:v>
      </x:c>
      <x:c r="B82" s="48" t="str">
        <x:v>r11</x:v>
      </x:c>
      <x:c r="C82" s="48" t="str">
        <x:v>CN-ZJ</x:v>
      </x:c>
      <x:c r="D82" s="48" t="str">
        <x:v>Zhejiang</x:v>
      </x:c>
      <x:c r="E82" s="48" t="str">
        <x:v>浙江</x:v>
      </x:c>
      <x:c r="F82" s="48" t="n">
        <x:v>1</x:v>
      </x:c>
      <x:c r="G82" s="48" t="str">
        <x:v>marine_capture</x:v>
      </x:c>
      <x:c r="H82" s="48" t="str">
        <x:v>海洋捕捞</x:v>
      </x:c>
      <x:c r="I82" s="48" t="n">
        <x:v>1</x:v>
      </x:c>
      <x:c r="J82" s="48" t="str">
        <x:v>fresh_sales</x:v>
      </x:c>
      <x:c r="K82" s="48" t="str">
        <x:v>鲜销</x:v>
      </x:c>
      <x:c r="L82" s="55" t="n">
        <x:v>267142.5878531778</x:v>
      </x:c>
      <x:c r="M82" s="54" t="n">
        <x:v>0.03358401469773325</x:v>
      </x:c>
      <x:c r="N82" s="54" t="n">
        <x:v>0.7980870392447718</x:v>
      </x:c>
      <x:c r="O82" s="55" t="n">
        <x:v>378827.3354838619</x:v>
      </x:c>
      <x:c r="P82" s="55" t="n">
        <x:v>851997.9653753614</x:v>
      </x:c>
      <x:c r="Q82" s="55" t="n">
        <x:v>654728.5305392989</x:v>
      </x:c>
      <x:c r="R82" s="54" t="n">
        <x:v>0.65</x:v>
      </x:c>
      <x:c r="S82" s="54" t="n">
        <x:v>0.62</x:v>
      </x:c>
      <x:c r="T82" s="54" t="n">
        <x:v>0.29</x:v>
      </x:c>
      <x:c r="U82" s="54" t="n">
        <x:v>0.28</x:v>
      </x:c>
      <x:c r="V82" s="54" t="n">
        <x:v>1</x:v>
      </x:c>
      <x:c r="W82" s="53" t="str">
        <x:v>calibrated reconstruction; not historical author input</x:v>
      </x:c>
    </x:row>
    <x:row r="83" ht="28" hidden="0" customHeight="1">
      <x:c r="A83" s="48" t="str">
        <x:v>x_r11_s1_m2</x:v>
      </x:c>
      <x:c r="B83" s="48" t="str">
        <x:v>r11</x:v>
      </x:c>
      <x:c r="C83" s="48" t="str">
        <x:v>CN-ZJ</x:v>
      </x:c>
      <x:c r="D83" s="48" t="str">
        <x:v>Zhejiang</x:v>
      </x:c>
      <x:c r="E83" s="48" t="str">
        <x:v>浙江</x:v>
      </x:c>
      <x:c r="F83" s="48" t="n">
        <x:v>1</x:v>
      </x:c>
      <x:c r="G83" s="48" t="str">
        <x:v>marine_capture</x:v>
      </x:c>
      <x:c r="H83" s="48" t="str">
        <x:v>海洋捕捞</x:v>
      </x:c>
      <x:c r="I83" s="48" t="n">
        <x:v>2</x:v>
      </x:c>
      <x:c r="J83" s="48" t="str">
        <x:v>deep_processing</x:v>
      </x:c>
      <x:c r="K83" s="48" t="str">
        <x:v>深加工</x:v>
      </x:c>
      <x:c r="L83" s="55" t="n">
        <x:v>120020.58294852916</x:v>
      </x:c>
      <x:c r="M83" s="54" t="n">
        <x:v>0.03358401469773325</x:v>
      </x:c>
      <x:c r="N83" s="54" t="n">
        <x:v>0.7980870392447718</x:v>
      </x:c>
      <x:c r="O83" s="55" t="n">
        <x:v>378827.3354838619</x:v>
      </x:c>
      <x:c r="P83" s="55" t="n">
        <x:v>851997.9653753614</x:v>
      </x:c>
      <x:c r="Q83" s="55" t="n">
        <x:v>654728.5305392989</x:v>
      </x:c>
      <x:c r="R83" s="54" t="n">
        <x:v>0.82</x:v>
      </x:c>
      <x:c r="S83" s="54" t="n">
        <x:v>0.95</x:v>
      </x:c>
      <x:c r="T83" s="54" t="n">
        <x:v>0.36</x:v>
      </x:c>
      <x:c r="U83" s="54" t="n">
        <x:v>0.31</x:v>
      </x:c>
      <x:c r="V83" s="54" t="n">
        <x:v>1</x:v>
      </x:c>
      <x:c r="W83" s="53" t="str">
        <x:v>calibrated reconstruction; not historical author input</x:v>
      </x:c>
    </x:row>
    <x:row r="84" ht="28" hidden="0" customHeight="1">
      <x:c r="A84" s="48" t="str">
        <x:v>x_r11_s2_m1</x:v>
      </x:c>
      <x:c r="B84" s="48" t="str">
        <x:v>r11</x:v>
      </x:c>
      <x:c r="C84" s="48" t="str">
        <x:v>CN-ZJ</x:v>
      </x:c>
      <x:c r="D84" s="48" t="str">
        <x:v>Zhejiang</x:v>
      </x:c>
      <x:c r="E84" s="48" t="str">
        <x:v>浙江</x:v>
      </x:c>
      <x:c r="F84" s="48" t="n">
        <x:v>2</x:v>
      </x:c>
      <x:c r="G84" s="48" t="str">
        <x:v>freshwater_capture</x:v>
      </x:c>
      <x:c r="H84" s="48" t="str">
        <x:v>淡水捕捞</x:v>
      </x:c>
      <x:c r="I84" s="48" t="n">
        <x:v>1</x:v>
      </x:c>
      <x:c r="J84" s="48" t="str">
        <x:v>fresh_sales</x:v>
      </x:c>
      <x:c r="K84" s="48" t="str">
        <x:v>鲜销</x:v>
      </x:c>
      <x:c r="L84" s="55" t="n">
        <x:v>96962.86522078305</x:v>
      </x:c>
      <x:c r="M84" s="54" t="n">
        <x:v>0.03358401469773325</x:v>
      </x:c>
      <x:c r="N84" s="54" t="n">
        <x:v>0.7980870392447718</x:v>
      </x:c>
      <x:c r="O84" s="55" t="n">
        <x:v>378827.3354838619</x:v>
      </x:c>
      <x:c r="P84" s="55" t="n">
        <x:v>851997.9653753614</x:v>
      </x:c>
      <x:c r="Q84" s="55" t="n">
        <x:v>654728.5305392989</x:v>
      </x:c>
      <x:c r="R84" s="54" t="n">
        <x:v>0.7</x:v>
      </x:c>
      <x:c r="S84" s="54" t="n">
        <x:v>0.67</x:v>
      </x:c>
      <x:c r="T84" s="54" t="n">
        <x:v>0.26</x:v>
      </x:c>
      <x:c r="U84" s="54" t="n">
        <x:v>0.42</x:v>
      </x:c>
      <x:c r="V84" s="54" t="n">
        <x:v>0.7</x:v>
      </x:c>
      <x:c r="W84" s="53" t="str">
        <x:v>calibrated reconstruction; not historical author input</x:v>
      </x:c>
    </x:row>
    <x:row r="85" ht="28" hidden="0" customHeight="1">
      <x:c r="A85" s="48" t="str">
        <x:v>x_r11_s2_m2</x:v>
      </x:c>
      <x:c r="B85" s="48" t="str">
        <x:v>r11</x:v>
      </x:c>
      <x:c r="C85" s="48" t="str">
        <x:v>CN-ZJ</x:v>
      </x:c>
      <x:c r="D85" s="48" t="str">
        <x:v>Zhejiang</x:v>
      </x:c>
      <x:c r="E85" s="48" t="str">
        <x:v>浙江</x:v>
      </x:c>
      <x:c r="F85" s="48" t="n">
        <x:v>2</x:v>
      </x:c>
      <x:c r="G85" s="48" t="str">
        <x:v>freshwater_capture</x:v>
      </x:c>
      <x:c r="H85" s="48" t="str">
        <x:v>淡水捕捞</x:v>
      </x:c>
      <x:c r="I85" s="48" t="n">
        <x:v>2</x:v>
      </x:c>
      <x:c r="J85" s="48" t="str">
        <x:v>deep_processing</x:v>
      </x:c>
      <x:c r="K85" s="48" t="str">
        <x:v>深加工</x:v>
      </x:c>
      <x:c r="L85" s="55" t="n">
        <x:v>43563.026403540214</x:v>
      </x:c>
      <x:c r="M85" s="54" t="n">
        <x:v>0.03358401469773325</x:v>
      </x:c>
      <x:c r="N85" s="54" t="n">
        <x:v>0.7980870392447718</x:v>
      </x:c>
      <x:c r="O85" s="55" t="n">
        <x:v>378827.3354838619</x:v>
      </x:c>
      <x:c r="P85" s="55" t="n">
        <x:v>851997.9653753614</x:v>
      </x:c>
      <x:c r="Q85" s="55" t="n">
        <x:v>654728.5305392989</x:v>
      </x:c>
      <x:c r="R85" s="54" t="n">
        <x:v>0.86</x:v>
      </x:c>
      <x:c r="S85" s="54" t="n">
        <x:v>0.99</x:v>
      </x:c>
      <x:c r="T85" s="54" t="n">
        <x:v>0.34</x:v>
      </x:c>
      <x:c r="U85" s="54" t="n">
        <x:v>0.45</x:v>
      </x:c>
      <x:c r="V85" s="54" t="n">
        <x:v>0.7</x:v>
      </x:c>
      <x:c r="W85" s="53" t="str">
        <x:v>calibrated reconstruction; not historical author input</x:v>
      </x:c>
    </x:row>
    <x:row r="86" ht="28" hidden="0" customHeight="1">
      <x:c r="A86" s="48" t="str">
        <x:v>x_r11_s3_m1</x:v>
      </x:c>
      <x:c r="B86" s="48" t="str">
        <x:v>r11</x:v>
      </x:c>
      <x:c r="C86" s="48" t="str">
        <x:v>CN-ZJ</x:v>
      </x:c>
      <x:c r="D86" s="48" t="str">
        <x:v>Zhejiang</x:v>
      </x:c>
      <x:c r="E86" s="48" t="str">
        <x:v>浙江</x:v>
      </x:c>
      <x:c r="F86" s="48" t="n">
        <x:v>3</x:v>
      </x:c>
      <x:c r="G86" s="48" t="str">
        <x:v>marine_aquaculture</x:v>
      </x:c>
      <x:c r="H86" s="48" t="str">
        <x:v>海水养殖</x:v>
      </x:c>
      <x:c r="I86" s="48" t="n">
        <x:v>1</x:v>
      </x:c>
      <x:c r="J86" s="48" t="str">
        <x:v>fresh_sales</x:v>
      </x:c>
      <x:c r="K86" s="48" t="str">
        <x:v>鲜销</x:v>
      </x:c>
      <x:c r="L86" s="55" t="n">
        <x:v>666867.0526408956</x:v>
      </x:c>
      <x:c r="M86" s="54" t="n">
        <x:v>0.03358401469773325</x:v>
      </x:c>
      <x:c r="N86" s="54" t="n">
        <x:v>0.7980870392447718</x:v>
      </x:c>
      <x:c r="O86" s="55" t="n">
        <x:v>378827.3354838619</x:v>
      </x:c>
      <x:c r="P86" s="55" t="n">
        <x:v>851997.9653753614</x:v>
      </x:c>
      <x:c r="Q86" s="55" t="n">
        <x:v>654728.5305392989</x:v>
      </x:c>
      <x:c r="R86" s="54" t="n">
        <x:v>0.84</x:v>
      </x:c>
      <x:c r="S86" s="54" t="n">
        <x:v>0.8</x:v>
      </x:c>
      <x:c r="T86" s="54" t="n">
        <x:v>0.33</x:v>
      </x:c>
      <x:c r="U86" s="54" t="n">
        <x:v>0.78</x:v>
      </x:c>
      <x:c r="V86" s="54" t="n">
        <x:v>0.11</x:v>
      </x:c>
      <x:c r="W86" s="53" t="str">
        <x:v>calibrated reconstruction; not historical author input</x:v>
      </x:c>
    </x:row>
    <x:row r="87" ht="28" hidden="0" customHeight="1">
      <x:c r="A87" s="48" t="str">
        <x:v>x_r11_s3_m2</x:v>
      </x:c>
      <x:c r="B87" s="48" t="str">
        <x:v>r11</x:v>
      </x:c>
      <x:c r="C87" s="48" t="str">
        <x:v>CN-ZJ</x:v>
      </x:c>
      <x:c r="D87" s="48" t="str">
        <x:v>Zhejiang</x:v>
      </x:c>
      <x:c r="E87" s="48" t="str">
        <x:v>浙江</x:v>
      </x:c>
      <x:c r="F87" s="48" t="n">
        <x:v>3</x:v>
      </x:c>
      <x:c r="G87" s="48" t="str">
        <x:v>marine_aquaculture</x:v>
      </x:c>
      <x:c r="H87" s="48" t="str">
        <x:v>海水养殖</x:v>
      </x:c>
      <x:c r="I87" s="48" t="n">
        <x:v>2</x:v>
      </x:c>
      <x:c r="J87" s="48" t="str">
        <x:v>deep_processing</x:v>
      </x:c>
      <x:c r="K87" s="48" t="str">
        <x:v>深加工</x:v>
      </x:c>
      <x:c r="L87" s="55" t="n">
        <x:v>299606.9366937357</x:v>
      </x:c>
      <x:c r="M87" s="54" t="n">
        <x:v>0.03358401469773325</x:v>
      </x:c>
      <x:c r="N87" s="54" t="n">
        <x:v>0.7980870392447718</x:v>
      </x:c>
      <x:c r="O87" s="55" t="n">
        <x:v>378827.3354838619</x:v>
      </x:c>
      <x:c r="P87" s="55" t="n">
        <x:v>851997.9653753614</x:v>
      </x:c>
      <x:c r="Q87" s="55" t="n">
        <x:v>654728.5305392989</x:v>
      </x:c>
      <x:c r="R87" s="54" t="n">
        <x:v>1.02</x:v>
      </x:c>
      <x:c r="S87" s="54" t="n">
        <x:v>1.16</x:v>
      </x:c>
      <x:c r="T87" s="54" t="n">
        <x:v>0.41</x:v>
      </x:c>
      <x:c r="U87" s="54" t="n">
        <x:v>0.81</x:v>
      </x:c>
      <x:c r="V87" s="54" t="n">
        <x:v>0.11</x:v>
      </x:c>
      <x:c r="W87" s="53" t="str">
        <x:v>calibrated reconstruction; not historical author input</x:v>
      </x:c>
    </x:row>
    <x:row r="88" ht="28" hidden="0" customHeight="1">
      <x:c r="A88" s="48" t="str">
        <x:v>x_r11_s4_m1</x:v>
      </x:c>
      <x:c r="B88" s="48" t="str">
        <x:v>r11</x:v>
      </x:c>
      <x:c r="C88" s="48" t="str">
        <x:v>CN-ZJ</x:v>
      </x:c>
      <x:c r="D88" s="48" t="str">
        <x:v>Zhejiang</x:v>
      </x:c>
      <x:c r="E88" s="48" t="str">
        <x:v>浙江</x:v>
      </x:c>
      <x:c r="F88" s="48" t="n">
        <x:v>4</x:v>
      </x:c>
      <x:c r="G88" s="48" t="str">
        <x:v>freshwater_aquaculture</x:v>
      </x:c>
      <x:c r="H88" s="48" t="str">
        <x:v>淡水养殖</x:v>
      </x:c>
      <x:c r="I88" s="48" t="n">
        <x:v>1</x:v>
      </x:c>
      <x:c r="J88" s="48" t="str">
        <x:v>fresh_sales</x:v>
      </x:c>
      <x:c r="K88" s="48" t="str">
        <x:v>鲜销</x:v>
      </x:c>
      <x:c r="L88" s="55" t="n">
        <x:v>947861.4783827565</x:v>
      </x:c>
      <x:c r="M88" s="54" t="n">
        <x:v>0.03358401469773325</x:v>
      </x:c>
      <x:c r="N88" s="54" t="n">
        <x:v>0.7980870392447718</x:v>
      </x:c>
      <x:c r="O88" s="55" t="n">
        <x:v>378827.3354838619</x:v>
      </x:c>
      <x:c r="P88" s="55" t="n">
        <x:v>851997.9653753614</x:v>
      </x:c>
      <x:c r="Q88" s="55" t="n">
        <x:v>654728.5305392989</x:v>
      </x:c>
      <x:c r="R88" s="54" t="n">
        <x:v>0.88</x:v>
      </x:c>
      <x:c r="S88" s="54" t="n">
        <x:v>0.84</x:v>
      </x:c>
      <x:c r="T88" s="54" t="n">
        <x:v>0.31</x:v>
      </x:c>
      <x:c r="U88" s="54" t="n">
        <x:v>0.88</x:v>
      </x:c>
      <x:c r="V88" s="54" t="n">
        <x:v>0.08</x:v>
      </x:c>
      <x:c r="W88" s="53" t="str">
        <x:v>calibrated reconstruction; not historical author input</x:v>
      </x:c>
    </x:row>
    <x:row r="89" ht="28" hidden="0" customHeight="1">
      <x:c r="A89" s="48" t="str">
        <x:v>x_r11_s4_m2</x:v>
      </x:c>
      <x:c r="B89" s="48" t="str">
        <x:v>r11</x:v>
      </x:c>
      <x:c r="C89" s="48" t="str">
        <x:v>CN-ZJ</x:v>
      </x:c>
      <x:c r="D89" s="48" t="str">
        <x:v>Zhejiang</x:v>
      </x:c>
      <x:c r="E89" s="48" t="str">
        <x:v>浙江</x:v>
      </x:c>
      <x:c r="F89" s="48" t="n">
        <x:v>4</x:v>
      </x:c>
      <x:c r="G89" s="48" t="str">
        <x:v>freshwater_aquaculture</x:v>
      </x:c>
      <x:c r="H89" s="48" t="str">
        <x:v>淡水养殖</x:v>
      </x:c>
      <x:c r="I89" s="48" t="n">
        <x:v>2</x:v>
      </x:c>
      <x:c r="J89" s="48" t="str">
        <x:v>deep_processing</x:v>
      </x:c>
      <x:c r="K89" s="48" t="str">
        <x:v>深加工</x:v>
      </x:c>
      <x:c r="L89" s="55" t="n">
        <x:v>425850.8091284848</x:v>
      </x:c>
      <x:c r="M89" s="54" t="n">
        <x:v>0.03358401469773325</x:v>
      </x:c>
      <x:c r="N89" s="54" t="n">
        <x:v>0.7980870392447718</x:v>
      </x:c>
      <x:c r="O89" s="55" t="n">
        <x:v>378827.3354838619</x:v>
      </x:c>
      <x:c r="P89" s="55" t="n">
        <x:v>851997.9653753614</x:v>
      </x:c>
      <x:c r="Q89" s="55" t="n">
        <x:v>654728.5305392989</x:v>
      </x:c>
      <x:c r="R89" s="54" t="n">
        <x:v>1.06</x:v>
      </x:c>
      <x:c r="S89" s="54" t="n">
        <x:v>1.2</x:v>
      </x:c>
      <x:c r="T89" s="54" t="n">
        <x:v>0.39</x:v>
      </x:c>
      <x:c r="U89" s="54" t="n">
        <x:v>0.91</x:v>
      </x:c>
      <x:c r="V89" s="54" t="n">
        <x:v>0.08</x:v>
      </x:c>
      <x:c r="W89" s="53" t="str">
        <x:v>calibrated reconstruction; not historical author input</x:v>
      </x:c>
    </x:row>
    <x:row r="90" ht="28" hidden="0" customHeight="1">
      <x:c r="A90" s="48" t="str">
        <x:v>x_r12_s1_m1</x:v>
      </x:c>
      <x:c r="B90" s="48" t="str">
        <x:v>r12</x:v>
      </x:c>
      <x:c r="C90" s="48" t="str">
        <x:v>CN-AH</x:v>
      </x:c>
      <x:c r="D90" s="48" t="str">
        <x:v>Anhui</x:v>
      </x:c>
      <x:c r="E90" s="48" t="str">
        <x:v>安徽</x:v>
      </x:c>
      <x:c r="F90" s="48" t="n">
        <x:v>1</x:v>
      </x:c>
      <x:c r="G90" s="48" t="str">
        <x:v>marine_capture</x:v>
      </x:c>
      <x:c r="H90" s="48" t="str">
        <x:v>海洋捕捞</x:v>
      </x:c>
      <x:c r="I90" s="48" t="n">
        <x:v>1</x:v>
      </x:c>
      <x:c r="J90" s="48" t="str">
        <x:v>fresh_sales</x:v>
      </x:c>
      <x:c r="K90" s="48" t="str">
        <x:v>鲜销</x:v>
      </x:c>
      <x:c r="L90" s="55" t="n">
        <x:v>294366.7069629298</x:v>
      </x:c>
      <x:c r="M90" s="54" t="n">
        <x:v>0.03700651360987694</x:v>
      </x:c>
      <x:c r="N90" s="54" t="n">
        <x:v>0.7636869397361422</x:v>
      </x:c>
      <x:c r="O90" s="55" t="n">
        <x:v>409179.3295375058</x:v>
      </x:c>
      <x:c r="P90" s="55" t="n">
        <x:v>914201.130096449</x:v>
      </x:c>
      <x:c r="Q90" s="55" t="n">
        <x:v>726041.100139937</x:v>
      </x:c>
      <x:c r="R90" s="54" t="n">
        <x:v>0.65</x:v>
      </x:c>
      <x:c r="S90" s="54" t="n">
        <x:v>0.62</x:v>
      </x:c>
      <x:c r="T90" s="54" t="n">
        <x:v>0.29</x:v>
      </x:c>
      <x:c r="U90" s="54" t="n">
        <x:v>0.28</x:v>
      </x:c>
      <x:c r="V90" s="54" t="n">
        <x:v>1</x:v>
      </x:c>
      <x:c r="W90" s="53" t="str">
        <x:v>calibrated reconstruction; not historical author input</x:v>
      </x:c>
    </x:row>
    <x:row r="91" ht="28" hidden="0" customHeight="1">
      <x:c r="A91" s="48" t="str">
        <x:v>x_r12_s1_m2</x:v>
      </x:c>
      <x:c r="B91" s="48" t="str">
        <x:v>r12</x:v>
      </x:c>
      <x:c r="C91" s="48" t="str">
        <x:v>CN-AH</x:v>
      </x:c>
      <x:c r="D91" s="48" t="str">
        <x:v>Anhui</x:v>
      </x:c>
      <x:c r="E91" s="48" t="str">
        <x:v>安徽</x:v>
      </x:c>
      <x:c r="F91" s="48" t="n">
        <x:v>1</x:v>
      </x:c>
      <x:c r="G91" s="48" t="str">
        <x:v>marine_capture</x:v>
      </x:c>
      <x:c r="H91" s="48" t="str">
        <x:v>海洋捕捞</x:v>
      </x:c>
      <x:c r="I91" s="48" t="n">
        <x:v>2</x:v>
      </x:c>
      <x:c r="J91" s="48" t="str">
        <x:v>deep_processing</x:v>
      </x:c>
      <x:c r="K91" s="48" t="str">
        <x:v>深加工</x:v>
      </x:c>
      <x:c r="L91" s="55" t="n">
        <x:v>132251.70892537426</x:v>
      </x:c>
      <x:c r="M91" s="54" t="n">
        <x:v>0.03700651360987694</x:v>
      </x:c>
      <x:c r="N91" s="54" t="n">
        <x:v>0.7636869397361422</x:v>
      </x:c>
      <x:c r="O91" s="55" t="n">
        <x:v>409179.3295375058</x:v>
      </x:c>
      <x:c r="P91" s="55" t="n">
        <x:v>914201.130096449</x:v>
      </x:c>
      <x:c r="Q91" s="55" t="n">
        <x:v>726041.100139937</x:v>
      </x:c>
      <x:c r="R91" s="54" t="n">
        <x:v>0.82</x:v>
      </x:c>
      <x:c r="S91" s="54" t="n">
        <x:v>0.95</x:v>
      </x:c>
      <x:c r="T91" s="54" t="n">
        <x:v>0.36</x:v>
      </x:c>
      <x:c r="U91" s="54" t="n">
        <x:v>0.31</x:v>
      </x:c>
      <x:c r="V91" s="54" t="n">
        <x:v>1</x:v>
      </x:c>
      <x:c r="W91" s="53" t="str">
        <x:v>calibrated reconstruction; not historical author input</x:v>
      </x:c>
    </x:row>
    <x:row r="92" ht="28" hidden="0" customHeight="1">
      <x:c r="A92" s="48" t="str">
        <x:v>x_r12_s2_m1</x:v>
      </x:c>
      <x:c r="B92" s="48" t="str">
        <x:v>r12</x:v>
      </x:c>
      <x:c r="C92" s="48" t="str">
        <x:v>CN-AH</x:v>
      </x:c>
      <x:c r="D92" s="48" t="str">
        <x:v>Anhui</x:v>
      </x:c>
      <x:c r="E92" s="48" t="str">
        <x:v>安徽</x:v>
      </x:c>
      <x:c r="F92" s="48" t="n">
        <x:v>2</x:v>
      </x:c>
      <x:c r="G92" s="48" t="str">
        <x:v>freshwater_capture</x:v>
      </x:c>
      <x:c r="H92" s="48" t="str">
        <x:v>淡水捕捞</x:v>
      </x:c>
      <x:c r="I92" s="48" t="n">
        <x:v>1</x:v>
      </x:c>
      <x:c r="J92" s="48" t="str">
        <x:v>fresh_sales</x:v>
      </x:c>
      <x:c r="K92" s="48" t="str">
        <x:v>鲜销</x:v>
      </x:c>
      <x:c r="L92" s="55" t="n">
        <x:v>106844.21215691525</x:v>
      </x:c>
      <x:c r="M92" s="54" t="n">
        <x:v>0.03700651360987694</x:v>
      </x:c>
      <x:c r="N92" s="54" t="n">
        <x:v>0.7636869397361422</x:v>
      </x:c>
      <x:c r="O92" s="55" t="n">
        <x:v>409179.3295375058</x:v>
      </x:c>
      <x:c r="P92" s="55" t="n">
        <x:v>914201.130096449</x:v>
      </x:c>
      <x:c r="Q92" s="55" t="n">
        <x:v>726041.100139937</x:v>
      </x:c>
      <x:c r="R92" s="54" t="n">
        <x:v>0.7</x:v>
      </x:c>
      <x:c r="S92" s="54" t="n">
        <x:v>0.67</x:v>
      </x:c>
      <x:c r="T92" s="54" t="n">
        <x:v>0.26</x:v>
      </x:c>
      <x:c r="U92" s="54" t="n">
        <x:v>0.42</x:v>
      </x:c>
      <x:c r="V92" s="54" t="n">
        <x:v>0.7</x:v>
      </x:c>
      <x:c r="W92" s="53" t="str">
        <x:v>calibrated reconstruction; not historical author input</x:v>
      </x:c>
    </x:row>
    <x:row r="93" ht="28" hidden="0" customHeight="1">
      <x:c r="A93" s="48" t="str">
        <x:v>x_r12_s2_m2</x:v>
      </x:c>
      <x:c r="B93" s="48" t="str">
        <x:v>r12</x:v>
      </x:c>
      <x:c r="C93" s="48" t="str">
        <x:v>CN-AH</x:v>
      </x:c>
      <x:c r="D93" s="48" t="str">
        <x:v>Anhui</x:v>
      </x:c>
      <x:c r="E93" s="48" t="str">
        <x:v>安徽</x:v>
      </x:c>
      <x:c r="F93" s="48" t="n">
        <x:v>2</x:v>
      </x:c>
      <x:c r="G93" s="48" t="str">
        <x:v>freshwater_capture</x:v>
      </x:c>
      <x:c r="H93" s="48" t="str">
        <x:v>淡水捕捞</x:v>
      </x:c>
      <x:c r="I93" s="48" t="n">
        <x:v>2</x:v>
      </x:c>
      <x:c r="J93" s="48" t="str">
        <x:v>deep_processing</x:v>
      </x:c>
      <x:c r="K93" s="48" t="str">
        <x:v>深加工</x:v>
      </x:c>
      <x:c r="L93" s="55" t="n">
        <x:v>48002.47212846917</x:v>
      </x:c>
      <x:c r="M93" s="54" t="n">
        <x:v>0.03700651360987694</x:v>
      </x:c>
      <x:c r="N93" s="54" t="n">
        <x:v>0.7636869397361422</x:v>
      </x:c>
      <x:c r="O93" s="55" t="n">
        <x:v>409179.3295375058</x:v>
      </x:c>
      <x:c r="P93" s="55" t="n">
        <x:v>914201.130096449</x:v>
      </x:c>
      <x:c r="Q93" s="55" t="n">
        <x:v>726041.100139937</x:v>
      </x:c>
      <x:c r="R93" s="54" t="n">
        <x:v>0.86</x:v>
      </x:c>
      <x:c r="S93" s="54" t="n">
        <x:v>0.99</x:v>
      </x:c>
      <x:c r="T93" s="54" t="n">
        <x:v>0.34</x:v>
      </x:c>
      <x:c r="U93" s="54" t="n">
        <x:v>0.45</x:v>
      </x:c>
      <x:c r="V93" s="54" t="n">
        <x:v>0.7</x:v>
      </x:c>
      <x:c r="W93" s="53" t="str">
        <x:v>calibrated reconstruction; not historical author input</x:v>
      </x:c>
    </x:row>
    <x:row r="94" ht="28" hidden="0" customHeight="1">
      <x:c r="A94" s="48" t="str">
        <x:v>x_r12_s3_m1</x:v>
      </x:c>
      <x:c r="B94" s="48" t="str">
        <x:v>r12</x:v>
      </x:c>
      <x:c r="C94" s="48" t="str">
        <x:v>CN-AH</x:v>
      </x:c>
      <x:c r="D94" s="48" t="str">
        <x:v>Anhui</x:v>
      </x:c>
      <x:c r="E94" s="48" t="str">
        <x:v>安徽</x:v>
      </x:c>
      <x:c r="F94" s="48" t="n">
        <x:v>3</x:v>
      </x:c>
      <x:c r="G94" s="48" t="str">
        <x:v>marine_aquaculture</x:v>
      </x:c>
      <x:c r="H94" s="48" t="str">
        <x:v>海水养殖</x:v>
      </x:c>
      <x:c r="I94" s="48" t="n">
        <x:v>1</x:v>
      </x:c>
      <x:c r="J94" s="48" t="str">
        <x:v>fresh_sales</x:v>
      </x:c>
      <x:c r="K94" s="48" t="str">
        <x:v>鲜销</x:v>
      </x:c>
      <x:c r="L94" s="55" t="n">
        <x:v>734826.5203444987</x:v>
      </x:c>
      <x:c r="M94" s="54" t="n">
        <x:v>0.03700651360987694</x:v>
      </x:c>
      <x:c r="N94" s="54" t="n">
        <x:v>0.7636869397361422</x:v>
      </x:c>
      <x:c r="O94" s="55" t="n">
        <x:v>409179.3295375058</x:v>
      </x:c>
      <x:c r="P94" s="55" t="n">
        <x:v>914201.130096449</x:v>
      </x:c>
      <x:c r="Q94" s="55" t="n">
        <x:v>726041.100139937</x:v>
      </x:c>
      <x:c r="R94" s="54" t="n">
        <x:v>0.84</x:v>
      </x:c>
      <x:c r="S94" s="54" t="n">
        <x:v>0.8</x:v>
      </x:c>
      <x:c r="T94" s="54" t="n">
        <x:v>0.33</x:v>
      </x:c>
      <x:c r="U94" s="54" t="n">
        <x:v>0.78</x:v>
      </x:c>
      <x:c r="V94" s="54" t="n">
        <x:v>0.11</x:v>
      </x:c>
      <x:c r="W94" s="53" t="str">
        <x:v>calibrated reconstruction; not historical author input</x:v>
      </x:c>
    </x:row>
    <x:row r="95" ht="28" hidden="0" customHeight="1">
      <x:c r="A95" s="48" t="str">
        <x:v>x_r12_s3_m2</x:v>
      </x:c>
      <x:c r="B95" s="48" t="str">
        <x:v>r12</x:v>
      </x:c>
      <x:c r="C95" s="48" t="str">
        <x:v>CN-AH</x:v>
      </x:c>
      <x:c r="D95" s="48" t="str">
        <x:v>Anhui</x:v>
      </x:c>
      <x:c r="E95" s="48" t="str">
        <x:v>安徽</x:v>
      </x:c>
      <x:c r="F95" s="48" t="n">
        <x:v>3</x:v>
      </x:c>
      <x:c r="G95" s="48" t="str">
        <x:v>marine_aquaculture</x:v>
      </x:c>
      <x:c r="H95" s="48" t="str">
        <x:v>海水养殖</x:v>
      </x:c>
      <x:c r="I95" s="48" t="n">
        <x:v>2</x:v>
      </x:c>
      <x:c r="J95" s="48" t="str">
        <x:v>deep_processing</x:v>
      </x:c>
      <x:c r="K95" s="48" t="str">
        <x:v>深加工</x:v>
      </x:c>
      <x:c r="L95" s="55" t="n">
        <x:v>330139.4511692676</x:v>
      </x:c>
      <x:c r="M95" s="54" t="n">
        <x:v>0.03700651360987694</x:v>
      </x:c>
      <x:c r="N95" s="54" t="n">
        <x:v>0.7636869397361422</x:v>
      </x:c>
      <x:c r="O95" s="55" t="n">
        <x:v>409179.3295375058</x:v>
      </x:c>
      <x:c r="P95" s="55" t="n">
        <x:v>914201.130096449</x:v>
      </x:c>
      <x:c r="Q95" s="55" t="n">
        <x:v>726041.100139937</x:v>
      </x:c>
      <x:c r="R95" s="54" t="n">
        <x:v>1.02</x:v>
      </x:c>
      <x:c r="S95" s="54" t="n">
        <x:v>1.16</x:v>
      </x:c>
      <x:c r="T95" s="54" t="n">
        <x:v>0.41</x:v>
      </x:c>
      <x:c r="U95" s="54" t="n">
        <x:v>0.81</x:v>
      </x:c>
      <x:c r="V95" s="54" t="n">
        <x:v>0.11</x:v>
      </x:c>
      <x:c r="W95" s="53" t="str">
        <x:v>calibrated reconstruction; not historical author input</x:v>
      </x:c>
    </x:row>
    <x:row r="96" ht="28" hidden="0" customHeight="1">
      <x:c r="A96" s="48" t="str">
        <x:v>x_r12_s4_m1</x:v>
      </x:c>
      <x:c r="B96" s="48" t="str">
        <x:v>r12</x:v>
      </x:c>
      <x:c r="C96" s="48" t="str">
        <x:v>CN-AH</x:v>
      </x:c>
      <x:c r="D96" s="48" t="str">
        <x:v>Anhui</x:v>
      </x:c>
      <x:c r="E96" s="48" t="str">
        <x:v>安徽</x:v>
      </x:c>
      <x:c r="F96" s="48" t="n">
        <x:v>4</x:v>
      </x:c>
      <x:c r="G96" s="48" t="str">
        <x:v>freshwater_aquaculture</x:v>
      </x:c>
      <x:c r="H96" s="48" t="str">
        <x:v>淡水养殖</x:v>
      </x:c>
      <x:c r="I96" s="48" t="n">
        <x:v>1</x:v>
      </x:c>
      <x:c r="J96" s="48" t="str">
        <x:v>fresh_sales</x:v>
      </x:c>
      <x:c r="K96" s="48" t="str">
        <x:v>鲜销</x:v>
      </x:c>
      <x:c r="L96" s="55" t="n">
        <x:v>1044456.6861869878</x:v>
      </x:c>
      <x:c r="M96" s="54" t="n">
        <x:v>0.03700651360987694</x:v>
      </x:c>
      <x:c r="N96" s="54" t="n">
        <x:v>0.7636869397361422</x:v>
      </x:c>
      <x:c r="O96" s="55" t="n">
        <x:v>409179.3295375058</x:v>
      </x:c>
      <x:c r="P96" s="55" t="n">
        <x:v>914201.130096449</x:v>
      </x:c>
      <x:c r="Q96" s="55" t="n">
        <x:v>726041.100139937</x:v>
      </x:c>
      <x:c r="R96" s="54" t="n">
        <x:v>0.88</x:v>
      </x:c>
      <x:c r="S96" s="54" t="n">
        <x:v>0.84</x:v>
      </x:c>
      <x:c r="T96" s="54" t="n">
        <x:v>0.31</x:v>
      </x:c>
      <x:c r="U96" s="54" t="n">
        <x:v>0.88</x:v>
      </x:c>
      <x:c r="V96" s="54" t="n">
        <x:v>0.08</x:v>
      </x:c>
      <x:c r="W96" s="53" t="str">
        <x:v>calibrated reconstruction; not historical author input</x:v>
      </x:c>
    </x:row>
    <x:row r="97" ht="28" hidden="0" customHeight="1">
      <x:c r="A97" s="48" t="str">
        <x:v>x_r12_s4_m2</x:v>
      </x:c>
      <x:c r="B97" s="48" t="str">
        <x:v>r12</x:v>
      </x:c>
      <x:c r="C97" s="48" t="str">
        <x:v>CN-AH</x:v>
      </x:c>
      <x:c r="D97" s="48" t="str">
        <x:v>Anhui</x:v>
      </x:c>
      <x:c r="E97" s="48" t="str">
        <x:v>安徽</x:v>
      </x:c>
      <x:c r="F97" s="48" t="n">
        <x:v>4</x:v>
      </x:c>
      <x:c r="G97" s="48" t="str">
        <x:v>freshwater_aquaculture</x:v>
      </x:c>
      <x:c r="H97" s="48" t="str">
        <x:v>淡水养殖</x:v>
      </x:c>
      <x:c r="I97" s="48" t="n">
        <x:v>2</x:v>
      </x:c>
      <x:c r="J97" s="48" t="str">
        <x:v>deep_processing</x:v>
      </x:c>
      <x:c r="K97" s="48" t="str">
        <x:v>深加工</x:v>
      </x:c>
      <x:c r="L97" s="55" t="n">
        <x:v>469248.65611299453</x:v>
      </x:c>
      <x:c r="M97" s="54" t="n">
        <x:v>0.03700651360987694</x:v>
      </x:c>
      <x:c r="N97" s="54" t="n">
        <x:v>0.7636869397361422</x:v>
      </x:c>
      <x:c r="O97" s="55" t="n">
        <x:v>409179.3295375058</x:v>
      </x:c>
      <x:c r="P97" s="55" t="n">
        <x:v>914201.130096449</x:v>
      </x:c>
      <x:c r="Q97" s="55" t="n">
        <x:v>726041.100139937</x:v>
      </x:c>
      <x:c r="R97" s="54" t="n">
        <x:v>1.06</x:v>
      </x:c>
      <x:c r="S97" s="54" t="n">
        <x:v>1.2</x:v>
      </x:c>
      <x:c r="T97" s="54" t="n">
        <x:v>0.39</x:v>
      </x:c>
      <x:c r="U97" s="54" t="n">
        <x:v>0.91</x:v>
      </x:c>
      <x:c r="V97" s="54" t="n">
        <x:v>0.08</x:v>
      </x:c>
      <x:c r="W97" s="53" t="str">
        <x:v>calibrated reconstruction; not historical author input</x:v>
      </x:c>
    </x:row>
    <x:row r="98" ht="28" hidden="0" customHeight="1">
      <x:c r="A98" s="48" t="str">
        <x:v>x_r13_s1_m1</x:v>
      </x:c>
      <x:c r="B98" s="48" t="str">
        <x:v>r13</x:v>
      </x:c>
      <x:c r="C98" s="48" t="str">
        <x:v>CN-FJ</x:v>
      </x:c>
      <x:c r="D98" s="48" t="str">
        <x:v>Fujian</x:v>
      </x:c>
      <x:c r="E98" s="48" t="str">
        <x:v>福建</x:v>
      </x:c>
      <x:c r="F98" s="48" t="n">
        <x:v>1</x:v>
      </x:c>
      <x:c r="G98" s="48" t="str">
        <x:v>marine_capture</x:v>
      </x:c>
      <x:c r="H98" s="48" t="str">
        <x:v>海洋捕捞</x:v>
      </x:c>
      <x:c r="I98" s="48" t="n">
        <x:v>1</x:v>
      </x:c>
      <x:c r="J98" s="48" t="str">
        <x:v>fresh_sales</x:v>
      </x:c>
      <x:c r="K98" s="48" t="str">
        <x:v>鲜销</x:v>
      </x:c>
      <x:c r="L98" s="55" t="n">
        <x:v>249008.0000892154</x:v>
      </x:c>
      <x:c r="M98" s="54" t="n">
        <x:v>0.03130421248837167</x:v>
      </x:c>
      <x:c r="N98" s="54" t="n">
        <x:v>0.6392608698719895</x:v>
      </x:c>
      <x:c r="O98" s="55" t="n">
        <x:v>332412.3280616791</x:v>
      </x:c>
      <x:c r="P98" s="55" t="n">
        <x:v>752504.0475052511</x:v>
      </x:c>
      <x:c r="Q98" s="55" t="n">
        <x:v>560937.2572346637</x:v>
      </x:c>
      <x:c r="R98" s="54" t="n">
        <x:v>0.65</x:v>
      </x:c>
      <x:c r="S98" s="54" t="n">
        <x:v>0.62</x:v>
      </x:c>
      <x:c r="T98" s="54" t="n">
        <x:v>0.29</x:v>
      </x:c>
      <x:c r="U98" s="54" t="n">
        <x:v>0.28</x:v>
      </x:c>
      <x:c r="V98" s="54" t="n">
        <x:v>1</x:v>
      </x:c>
      <x:c r="W98" s="53" t="str">
        <x:v>calibrated reconstruction; not historical author input</x:v>
      </x:c>
    </x:row>
    <x:row r="99" ht="28" hidden="0" customHeight="1">
      <x:c r="A99" s="48" t="str">
        <x:v>x_r13_s1_m2</x:v>
      </x:c>
      <x:c r="B99" s="48" t="str">
        <x:v>r13</x:v>
      </x:c>
      <x:c r="C99" s="48" t="str">
        <x:v>CN-FJ</x:v>
      </x:c>
      <x:c r="D99" s="48" t="str">
        <x:v>Fujian</x:v>
      </x:c>
      <x:c r="E99" s="48" t="str">
        <x:v>福建</x:v>
      </x:c>
      <x:c r="F99" s="48" t="n">
        <x:v>1</x:v>
      </x:c>
      <x:c r="G99" s="48" t="str">
        <x:v>marine_capture</x:v>
      </x:c>
      <x:c r="H99" s="48" t="str">
        <x:v>海洋捕捞</x:v>
      </x:c>
      <x:c r="I99" s="48" t="n">
        <x:v>2</x:v>
      </x:c>
      <x:c r="J99" s="48" t="str">
        <x:v>deep_processing</x:v>
      </x:c>
      <x:c r="K99" s="48" t="str">
        <x:v>深加工</x:v>
      </x:c>
      <x:c r="L99" s="55" t="n">
        <x:v>111873.15946037215</x:v>
      </x:c>
      <x:c r="M99" s="54" t="n">
        <x:v>0.03130421248837167</x:v>
      </x:c>
      <x:c r="N99" s="54" t="n">
        <x:v>0.6392608698719895</x:v>
      </x:c>
      <x:c r="O99" s="55" t="n">
        <x:v>332412.3280616791</x:v>
      </x:c>
      <x:c r="P99" s="55" t="n">
        <x:v>752504.0475052511</x:v>
      </x:c>
      <x:c r="Q99" s="55" t="n">
        <x:v>560937.2572346637</x:v>
      </x:c>
      <x:c r="R99" s="54" t="n">
        <x:v>0.82</x:v>
      </x:c>
      <x:c r="S99" s="54" t="n">
        <x:v>0.95</x:v>
      </x:c>
      <x:c r="T99" s="54" t="n">
        <x:v>0.36</x:v>
      </x:c>
      <x:c r="U99" s="54" t="n">
        <x:v>0.31</x:v>
      </x:c>
      <x:c r="V99" s="54" t="n">
        <x:v>1</x:v>
      </x:c>
      <x:c r="W99" s="53" t="str">
        <x:v>calibrated reconstruction; not historical author input</x:v>
      </x:c>
    </x:row>
    <x:row r="100" ht="28" hidden="0" customHeight="1">
      <x:c r="A100" s="48" t="str">
        <x:v>x_r13_s2_m1</x:v>
      </x:c>
      <x:c r="B100" s="48" t="str">
        <x:v>r13</x:v>
      </x:c>
      <x:c r="C100" s="48" t="str">
        <x:v>CN-FJ</x:v>
      </x:c>
      <x:c r="D100" s="48" t="str">
        <x:v>Fujian</x:v>
      </x:c>
      <x:c r="E100" s="48" t="str">
        <x:v>福建</x:v>
      </x:c>
      <x:c r="F100" s="48" t="n">
        <x:v>2</x:v>
      </x:c>
      <x:c r="G100" s="48" t="str">
        <x:v>freshwater_capture</x:v>
      </x:c>
      <x:c r="H100" s="48" t="str">
        <x:v>淡水捕捞</x:v>
      </x:c>
      <x:c r="I100" s="48" t="n">
        <x:v>1</x:v>
      </x:c>
      <x:c r="J100" s="48" t="str">
        <x:v>fresh_sales</x:v>
      </x:c>
      <x:c r="K100" s="48" t="str">
        <x:v>鲜销</x:v>
      </x:c>
      <x:c r="L100" s="55" t="n">
        <x:v>90380.68151386337</x:v>
      </x:c>
      <x:c r="M100" s="54" t="n">
        <x:v>0.03130421248837167</x:v>
      </x:c>
      <x:c r="N100" s="54" t="n">
        <x:v>0.6392608698719895</x:v>
      </x:c>
      <x:c r="O100" s="55" t="n">
        <x:v>332412.3280616791</x:v>
      </x:c>
      <x:c r="P100" s="55" t="n">
        <x:v>752504.0475052511</x:v>
      </x:c>
      <x:c r="Q100" s="55" t="n">
        <x:v>560937.2572346637</x:v>
      </x:c>
      <x:c r="R100" s="54" t="n">
        <x:v>0.7</x:v>
      </x:c>
      <x:c r="S100" s="54" t="n">
        <x:v>0.67</x:v>
      </x:c>
      <x:c r="T100" s="54" t="n">
        <x:v>0.26</x:v>
      </x:c>
      <x:c r="U100" s="54" t="n">
        <x:v>0.42</x:v>
      </x:c>
      <x:c r="V100" s="54" t="n">
        <x:v>0.7</x:v>
      </x:c>
      <x:c r="W100" s="53" t="str">
        <x:v>calibrated reconstruction; not historical author input</x:v>
      </x:c>
    </x:row>
    <x:row r="101" ht="28" hidden="0" customHeight="1">
      <x:c r="A101" s="48" t="str">
        <x:v>x_r13_s2_m2</x:v>
      </x:c>
      <x:c r="B101" s="48" t="str">
        <x:v>r13</x:v>
      </x:c>
      <x:c r="C101" s="48" t="str">
        <x:v>CN-FJ</x:v>
      </x:c>
      <x:c r="D101" s="48" t="str">
        <x:v>Fujian</x:v>
      </x:c>
      <x:c r="E101" s="48" t="str">
        <x:v>福建</x:v>
      </x:c>
      <x:c r="F101" s="48" t="n">
        <x:v>2</x:v>
      </x:c>
      <x:c r="G101" s="48" t="str">
        <x:v>freshwater_capture</x:v>
      </x:c>
      <x:c r="H101" s="48" t="str">
        <x:v>淡水捕捞</x:v>
      </x:c>
      <x:c r="I101" s="48" t="n">
        <x:v>2</x:v>
      </x:c>
      <x:c r="J101" s="48" t="str">
        <x:v>deep_processing</x:v>
      </x:c>
      <x:c r="K101" s="48" t="str">
        <x:v>深加工</x:v>
      </x:c>
      <x:c r="L101" s="55" t="n">
        <x:v>40605.813433764706</x:v>
      </x:c>
      <x:c r="M101" s="54" t="n">
        <x:v>0.03130421248837167</x:v>
      </x:c>
      <x:c r="N101" s="54" t="n">
        <x:v>0.6392608698719895</x:v>
      </x:c>
      <x:c r="O101" s="55" t="n">
        <x:v>332412.3280616791</x:v>
      </x:c>
      <x:c r="P101" s="55" t="n">
        <x:v>752504.0475052511</x:v>
      </x:c>
      <x:c r="Q101" s="55" t="n">
        <x:v>560937.2572346637</x:v>
      </x:c>
      <x:c r="R101" s="54" t="n">
        <x:v>0.86</x:v>
      </x:c>
      <x:c r="S101" s="54" t="n">
        <x:v>0.99</x:v>
      </x:c>
      <x:c r="T101" s="54" t="n">
        <x:v>0.34</x:v>
      </x:c>
      <x:c r="U101" s="54" t="n">
        <x:v>0.45</x:v>
      </x:c>
      <x:c r="V101" s="54" t="n">
        <x:v>0.7</x:v>
      </x:c>
      <x:c r="W101" s="53" t="str">
        <x:v>calibrated reconstruction; not historical author input</x:v>
      </x:c>
    </x:row>
    <x:row r="102" ht="28" hidden="0" customHeight="1">
      <x:c r="A102" s="48" t="str">
        <x:v>x_r13_s3_m1</x:v>
      </x:c>
      <x:c r="B102" s="48" t="str">
        <x:v>r13</x:v>
      </x:c>
      <x:c r="C102" s="48" t="str">
        <x:v>CN-FJ</x:v>
      </x:c>
      <x:c r="D102" s="48" t="str">
        <x:v>Fujian</x:v>
      </x:c>
      <x:c r="E102" s="48" t="str">
        <x:v>福建</x:v>
      </x:c>
      <x:c r="F102" s="48" t="n">
        <x:v>3</x:v>
      </x:c>
      <x:c r="G102" s="48" t="str">
        <x:v>marine_aquaculture</x:v>
      </x:c>
      <x:c r="H102" s="48" t="str">
        <x:v>海水养殖</x:v>
      </x:c>
      <x:c r="I102" s="48" t="n">
        <x:v>1</x:v>
      </x:c>
      <x:c r="J102" s="48" t="str">
        <x:v>fresh_sales</x:v>
      </x:c>
      <x:c r="K102" s="48" t="str">
        <x:v>鲜销</x:v>
      </x:c>
      <x:c r="L102" s="55" t="n">
        <x:v>621597.7483708563</x:v>
      </x:c>
      <x:c r="M102" s="54" t="n">
        <x:v>0.03130421248837167</x:v>
      </x:c>
      <x:c r="N102" s="54" t="n">
        <x:v>0.6392608698719895</x:v>
      </x:c>
      <x:c r="O102" s="55" t="n">
        <x:v>332412.3280616791</x:v>
      </x:c>
      <x:c r="P102" s="55" t="n">
        <x:v>752504.0475052511</x:v>
      </x:c>
      <x:c r="Q102" s="55" t="n">
        <x:v>560937.2572346637</x:v>
      </x:c>
      <x:c r="R102" s="54" t="n">
        <x:v>0.84</x:v>
      </x:c>
      <x:c r="S102" s="54" t="n">
        <x:v>0.8</x:v>
      </x:c>
      <x:c r="T102" s="54" t="n">
        <x:v>0.33</x:v>
      </x:c>
      <x:c r="U102" s="54" t="n">
        <x:v>0.78</x:v>
      </x:c>
      <x:c r="V102" s="54" t="n">
        <x:v>0.11</x:v>
      </x:c>
      <x:c r="W102" s="53" t="str">
        <x:v>calibrated reconstruction; not historical author input</x:v>
      </x:c>
    </x:row>
    <x:row r="103" ht="28" hidden="0" customHeight="1">
      <x:c r="A103" s="48" t="str">
        <x:v>x_r13_s3_m2</x:v>
      </x:c>
      <x:c r="B103" s="48" t="str">
        <x:v>r13</x:v>
      </x:c>
      <x:c r="C103" s="48" t="str">
        <x:v>CN-FJ</x:v>
      </x:c>
      <x:c r="D103" s="48" t="str">
        <x:v>Fujian</x:v>
      </x:c>
      <x:c r="E103" s="48" t="str">
        <x:v>福建</x:v>
      </x:c>
      <x:c r="F103" s="48" t="n">
        <x:v>3</x:v>
      </x:c>
      <x:c r="G103" s="48" t="str">
        <x:v>marine_aquaculture</x:v>
      </x:c>
      <x:c r="H103" s="48" t="str">
        <x:v>海水养殖</x:v>
      </x:c>
      <x:c r="I103" s="48" t="n">
        <x:v>2</x:v>
      </x:c>
      <x:c r="J103" s="48" t="str">
        <x:v>deep_processing</x:v>
      </x:c>
      <x:c r="K103" s="48" t="str">
        <x:v>深加工</x:v>
      </x:c>
      <x:c r="L103" s="55" t="n">
        <x:v>279268.55361589196</x:v>
      </x:c>
      <x:c r="M103" s="54" t="n">
        <x:v>0.03130421248837167</x:v>
      </x:c>
      <x:c r="N103" s="54" t="n">
        <x:v>0.6392608698719895</x:v>
      </x:c>
      <x:c r="O103" s="55" t="n">
        <x:v>332412.3280616791</x:v>
      </x:c>
      <x:c r="P103" s="55" t="n">
        <x:v>752504.0475052511</x:v>
      </x:c>
      <x:c r="Q103" s="55" t="n">
        <x:v>560937.2572346637</x:v>
      </x:c>
      <x:c r="R103" s="54" t="n">
        <x:v>1.02</x:v>
      </x:c>
      <x:c r="S103" s="54" t="n">
        <x:v>1.16</x:v>
      </x:c>
      <x:c r="T103" s="54" t="n">
        <x:v>0.41</x:v>
      </x:c>
      <x:c r="U103" s="54" t="n">
        <x:v>0.81</x:v>
      </x:c>
      <x:c r="V103" s="54" t="n">
        <x:v>0.11</x:v>
      </x:c>
      <x:c r="W103" s="53" t="str">
        <x:v>calibrated reconstruction; not historical author input</x:v>
      </x:c>
    </x:row>
    <x:row r="104" ht="28" hidden="0" customHeight="1">
      <x:c r="A104" s="48" t="str">
        <x:v>x_r13_s4_m1</x:v>
      </x:c>
      <x:c r="B104" s="48" t="str">
        <x:v>r13</x:v>
      </x:c>
      <x:c r="C104" s="48" t="str">
        <x:v>CN-FJ</x:v>
      </x:c>
      <x:c r="D104" s="48" t="str">
        <x:v>Fujian</x:v>
      </x:c>
      <x:c r="E104" s="48" t="str">
        <x:v>福建</x:v>
      </x:c>
      <x:c r="F104" s="48" t="n">
        <x:v>4</x:v>
      </x:c>
      <x:c r="G104" s="48" t="str">
        <x:v>freshwater_aquaculture</x:v>
      </x:c>
      <x:c r="H104" s="48" t="str">
        <x:v>淡水养殖</x:v>
      </x:c>
      <x:c r="I104" s="48" t="n">
        <x:v>1</x:v>
      </x:c>
      <x:c r="J104" s="48" t="str">
        <x:v>fresh_sales</x:v>
      </x:c>
      <x:c r="K104" s="48" t="str">
        <x:v>鲜销</x:v>
      </x:c>
      <x:c r="L104" s="55" t="n">
        <x:v>883517.2743906236</x:v>
      </x:c>
      <x:c r="M104" s="54" t="n">
        <x:v>0.03130421248837167</x:v>
      </x:c>
      <x:c r="N104" s="54" t="n">
        <x:v>0.6392608698719895</x:v>
      </x:c>
      <x:c r="O104" s="55" t="n">
        <x:v>332412.3280616791</x:v>
      </x:c>
      <x:c r="P104" s="55" t="n">
        <x:v>752504.0475052511</x:v>
      </x:c>
      <x:c r="Q104" s="55" t="n">
        <x:v>560937.2572346637</x:v>
      </x:c>
      <x:c r="R104" s="54" t="n">
        <x:v>0.88</x:v>
      </x:c>
      <x:c r="S104" s="54" t="n">
        <x:v>0.84</x:v>
      </x:c>
      <x:c r="T104" s="54" t="n">
        <x:v>0.31</x:v>
      </x:c>
      <x:c r="U104" s="54" t="n">
        <x:v>0.88</x:v>
      </x:c>
      <x:c r="V104" s="54" t="n">
        <x:v>0.08</x:v>
      </x:c>
      <x:c r="W104" s="53" t="str">
        <x:v>calibrated reconstruction; not historical author input</x:v>
      </x:c>
    </x:row>
    <x:row r="105" ht="28" hidden="0" customHeight="1">
      <x:c r="A105" s="48" t="str">
        <x:v>x_r13_s4_m2</x:v>
      </x:c>
      <x:c r="B105" s="48" t="str">
        <x:v>r13</x:v>
      </x:c>
      <x:c r="C105" s="48" t="str">
        <x:v>CN-FJ</x:v>
      </x:c>
      <x:c r="D105" s="48" t="str">
        <x:v>Fujian</x:v>
      </x:c>
      <x:c r="E105" s="48" t="str">
        <x:v>福建</x:v>
      </x:c>
      <x:c r="F105" s="48" t="n">
        <x:v>4</x:v>
      </x:c>
      <x:c r="G105" s="48" t="str">
        <x:v>freshwater_aquaculture</x:v>
      </x:c>
      <x:c r="H105" s="48" t="str">
        <x:v>淡水养殖</x:v>
      </x:c>
      <x:c r="I105" s="48" t="n">
        <x:v>2</x:v>
      </x:c>
      <x:c r="J105" s="48" t="str">
        <x:v>deep_processing</x:v>
      </x:c>
      <x:c r="K105" s="48" t="str">
        <x:v>深加工</x:v>
      </x:c>
      <x:c r="L105" s="55" t="n">
        <x:v>396942.5435668019</x:v>
      </x:c>
      <x:c r="M105" s="54" t="n">
        <x:v>0.03130421248837167</x:v>
      </x:c>
      <x:c r="N105" s="54" t="n">
        <x:v>0.6392608698719895</x:v>
      </x:c>
      <x:c r="O105" s="55" t="n">
        <x:v>332412.3280616791</x:v>
      </x:c>
      <x:c r="P105" s="55" t="n">
        <x:v>752504.0475052511</x:v>
      </x:c>
      <x:c r="Q105" s="55" t="n">
        <x:v>560937.2572346637</x:v>
      </x:c>
      <x:c r="R105" s="54" t="n">
        <x:v>1.06</x:v>
      </x:c>
      <x:c r="S105" s="54" t="n">
        <x:v>1.2</x:v>
      </x:c>
      <x:c r="T105" s="54" t="n">
        <x:v>0.39</x:v>
      </x:c>
      <x:c r="U105" s="54" t="n">
        <x:v>0.91</x:v>
      </x:c>
      <x:c r="V105" s="54" t="n">
        <x:v>0.08</x:v>
      </x:c>
      <x:c r="W105" s="53" t="str">
        <x:v>calibrated reconstruction; not historical author input</x:v>
      </x:c>
    </x:row>
    <x:row r="106" ht="28" hidden="0" customHeight="1">
      <x:c r="A106" s="48" t="str">
        <x:v>x_r14_s1_m1</x:v>
      </x:c>
      <x:c r="B106" s="48" t="str">
        <x:v>r14</x:v>
      </x:c>
      <x:c r="C106" s="48" t="str">
        <x:v>CN-JX</x:v>
      </x:c>
      <x:c r="D106" s="48" t="str">
        <x:v>Jiangxi</x:v>
      </x:c>
      <x:c r="E106" s="48" t="str">
        <x:v>江西</x:v>
      </x:c>
      <x:c r="F106" s="48" t="n">
        <x:v>1</x:v>
      </x:c>
      <x:c r="G106" s="48" t="str">
        <x:v>marine_capture</x:v>
      </x:c>
      <x:c r="H106" s="48" t="str">
        <x:v>海洋捕捞</x:v>
      </x:c>
      <x:c r="I106" s="48" t="n">
        <x:v>1</x:v>
      </x:c>
      <x:c r="J106" s="48" t="str">
        <x:v>fresh_sales</x:v>
      </x:c>
      <x:c r="K106" s="48" t="str">
        <x:v>鲜销</x:v>
      </x:c>
      <x:c r="L106" s="55" t="n">
        <x:v>302175.12184568756</x:v>
      </x:c>
      <x:c r="M106" s="54" t="n">
        <x:v>0.037988153872838916</x:v>
      </x:c>
      <x:c r="N106" s="54" t="n">
        <x:v>0.673401379475816</x:v>
      </x:c>
      <x:c r="O106" s="55" t="n">
        <x:v>453207.60107136203</x:v>
      </x:c>
      <x:c r="P106" s="55" t="n">
        <x:v>887899.6132601189</x:v>
      </x:c>
      <x:c r="Q106" s="55" t="n">
        <x:v>701395.0245607767</x:v>
      </x:c>
      <x:c r="R106" s="54" t="n">
        <x:v>0.65</x:v>
      </x:c>
      <x:c r="S106" s="54" t="n">
        <x:v>0.62</x:v>
      </x:c>
      <x:c r="T106" s="54" t="n">
        <x:v>0.29</x:v>
      </x:c>
      <x:c r="U106" s="54" t="n">
        <x:v>0.28</x:v>
      </x:c>
      <x:c r="V106" s="54" t="n">
        <x:v>1</x:v>
      </x:c>
      <x:c r="W106" s="53" t="str">
        <x:v>calibrated reconstruction; not historical author input</x:v>
      </x:c>
    </x:row>
    <x:row r="107" ht="28" hidden="0" customHeight="1">
      <x:c r="A107" s="48" t="str">
        <x:v>x_r14_s1_m2</x:v>
      </x:c>
      <x:c r="B107" s="48" t="str">
        <x:v>r14</x:v>
      </x:c>
      <x:c r="C107" s="48" t="str">
        <x:v>CN-JX</x:v>
      </x:c>
      <x:c r="D107" s="48" t="str">
        <x:v>Jiangxi</x:v>
      </x:c>
      <x:c r="E107" s="48" t="str">
        <x:v>江西</x:v>
      </x:c>
      <x:c r="F107" s="48" t="n">
        <x:v>1</x:v>
      </x:c>
      <x:c r="G107" s="48" t="str">
        <x:v>marine_capture</x:v>
      </x:c>
      <x:c r="H107" s="48" t="str">
        <x:v>海洋捕捞</x:v>
      </x:c>
      <x:c r="I107" s="48" t="n">
        <x:v>2</x:v>
      </x:c>
      <x:c r="J107" s="48" t="str">
        <x:v>deep_processing</x:v>
      </x:c>
      <x:c r="K107" s="48" t="str">
        <x:v>深加工</x:v>
      </x:c>
      <x:c r="L107" s="55" t="n">
        <x:v>135759.83735096108</x:v>
      </x:c>
      <x:c r="M107" s="54" t="n">
        <x:v>0.037988153872838916</x:v>
      </x:c>
      <x:c r="N107" s="54" t="n">
        <x:v>0.673401379475816</x:v>
      </x:c>
      <x:c r="O107" s="55" t="n">
        <x:v>453207.60107136203</x:v>
      </x:c>
      <x:c r="P107" s="55" t="n">
        <x:v>887899.6132601189</x:v>
      </x:c>
      <x:c r="Q107" s="55" t="n">
        <x:v>701395.0245607767</x:v>
      </x:c>
      <x:c r="R107" s="54" t="n">
        <x:v>0.82</x:v>
      </x:c>
      <x:c r="S107" s="54" t="n">
        <x:v>0.95</x:v>
      </x:c>
      <x:c r="T107" s="54" t="n">
        <x:v>0.36</x:v>
      </x:c>
      <x:c r="U107" s="54" t="n">
        <x:v>0.31</x:v>
      </x:c>
      <x:c r="V107" s="54" t="n">
        <x:v>1</x:v>
      </x:c>
      <x:c r="W107" s="53" t="str">
        <x:v>calibrated reconstruction; not historical author input</x:v>
      </x:c>
    </x:row>
    <x:row r="108" ht="28" hidden="0" customHeight="1">
      <x:c r="A108" s="48" t="str">
        <x:v>x_r14_s2_m1</x:v>
      </x:c>
      <x:c r="B108" s="48" t="str">
        <x:v>r14</x:v>
      </x:c>
      <x:c r="C108" s="48" t="str">
        <x:v>CN-JX</x:v>
      </x:c>
      <x:c r="D108" s="48" t="str">
        <x:v>Jiangxi</x:v>
      </x:c>
      <x:c r="E108" s="48" t="str">
        <x:v>江西</x:v>
      </x:c>
      <x:c r="F108" s="48" t="n">
        <x:v>2</x:v>
      </x:c>
      <x:c r="G108" s="48" t="str">
        <x:v>freshwater_capture</x:v>
      </x:c>
      <x:c r="H108" s="48" t="str">
        <x:v>淡水捕捞</x:v>
      </x:c>
      <x:c r="I108" s="48" t="n">
        <x:v>1</x:v>
      </x:c>
      <x:c r="J108" s="48" t="str">
        <x:v>fresh_sales</x:v>
      </x:c>
      <x:c r="K108" s="48" t="str">
        <x:v>鲜销</x:v>
      </x:c>
      <x:c r="L108" s="55" t="n">
        <x:v>109678.3775588051</x:v>
      </x:c>
      <x:c r="M108" s="54" t="n">
        <x:v>0.037988153872838916</x:v>
      </x:c>
      <x:c r="N108" s="54" t="n">
        <x:v>0.673401379475816</x:v>
      </x:c>
      <x:c r="O108" s="55" t="n">
        <x:v>453207.60107136203</x:v>
      </x:c>
      <x:c r="P108" s="55" t="n">
        <x:v>887899.6132601189</x:v>
      </x:c>
      <x:c r="Q108" s="55" t="n">
        <x:v>701395.0245607767</x:v>
      </x:c>
      <x:c r="R108" s="54" t="n">
        <x:v>0.7</x:v>
      </x:c>
      <x:c r="S108" s="54" t="n">
        <x:v>0.67</x:v>
      </x:c>
      <x:c r="T108" s="54" t="n">
        <x:v>0.26</x:v>
      </x:c>
      <x:c r="U108" s="54" t="n">
        <x:v>0.42</x:v>
      </x:c>
      <x:c r="V108" s="54" t="n">
        <x:v>0.7</x:v>
      </x:c>
      <x:c r="W108" s="53" t="str">
        <x:v>calibrated reconstruction; not historical author input</x:v>
      </x:c>
    </x:row>
    <x:row r="109" ht="28" hidden="0" customHeight="1">
      <x:c r="A109" s="48" t="str">
        <x:v>x_r14_s2_m2</x:v>
      </x:c>
      <x:c r="B109" s="48" t="str">
        <x:v>r14</x:v>
      </x:c>
      <x:c r="C109" s="48" t="str">
        <x:v>CN-JX</x:v>
      </x:c>
      <x:c r="D109" s="48" t="str">
        <x:v>Jiangxi</x:v>
      </x:c>
      <x:c r="E109" s="48" t="str">
        <x:v>江西</x:v>
      </x:c>
      <x:c r="F109" s="48" t="n">
        <x:v>2</x:v>
      </x:c>
      <x:c r="G109" s="48" t="str">
        <x:v>freshwater_capture</x:v>
      </x:c>
      <x:c r="H109" s="48" t="str">
        <x:v>淡水捕捞</x:v>
      </x:c>
      <x:c r="I109" s="48" t="n">
        <x:v>2</x:v>
      </x:c>
      <x:c r="J109" s="48" t="str">
        <x:v>deep_processing</x:v>
      </x:c>
      <x:c r="K109" s="48" t="str">
        <x:v>深加工</x:v>
      </x:c>
      <x:c r="L109" s="55" t="n">
        <x:v>49275.79281627476</x:v>
      </x:c>
      <x:c r="M109" s="54" t="n">
        <x:v>0.037988153872838916</x:v>
      </x:c>
      <x:c r="N109" s="54" t="n">
        <x:v>0.673401379475816</x:v>
      </x:c>
      <x:c r="O109" s="55" t="n">
        <x:v>453207.60107136203</x:v>
      </x:c>
      <x:c r="P109" s="55" t="n">
        <x:v>887899.6132601189</x:v>
      </x:c>
      <x:c r="Q109" s="55" t="n">
        <x:v>701395.0245607767</x:v>
      </x:c>
      <x:c r="R109" s="54" t="n">
        <x:v>0.86</x:v>
      </x:c>
      <x:c r="S109" s="54" t="n">
        <x:v>0.99</x:v>
      </x:c>
      <x:c r="T109" s="54" t="n">
        <x:v>0.34</x:v>
      </x:c>
      <x:c r="U109" s="54" t="n">
        <x:v>0.45</x:v>
      </x:c>
      <x:c r="V109" s="54" t="n">
        <x:v>0.7</x:v>
      </x:c>
      <x:c r="W109" s="53" t="str">
        <x:v>calibrated reconstruction; not historical author input</x:v>
      </x:c>
    </x:row>
    <x:row r="110" ht="28" hidden="0" customHeight="1">
      <x:c r="A110" s="48" t="str">
        <x:v>x_r14_s3_m1</x:v>
      </x:c>
      <x:c r="B110" s="48" t="str">
        <x:v>r14</x:v>
      </x:c>
      <x:c r="C110" s="48" t="str">
        <x:v>CN-JX</x:v>
      </x:c>
      <x:c r="D110" s="48" t="str">
        <x:v>Jiangxi</x:v>
      </x:c>
      <x:c r="E110" s="48" t="str">
        <x:v>江西</x:v>
      </x:c>
      <x:c r="F110" s="48" t="n">
        <x:v>3</x:v>
      </x:c>
      <x:c r="G110" s="48" t="str">
        <x:v>marine_aquaculture</x:v>
      </x:c>
      <x:c r="H110" s="48" t="str">
        <x:v>海水养殖</x:v>
      </x:c>
      <x:c r="I110" s="48" t="n">
        <x:v>1</x:v>
      </x:c>
      <x:c r="J110" s="48" t="str">
        <x:v>fresh_sales</x:v>
      </x:c>
      <x:c r="K110" s="48" t="str">
        <x:v>鲜销</x:v>
      </x:c>
      <x:c r="L110" s="55" t="n">
        <x:v>754318.6374962719</x:v>
      </x:c>
      <x:c r="M110" s="54" t="n">
        <x:v>0.037988153872838916</x:v>
      </x:c>
      <x:c r="N110" s="54" t="n">
        <x:v>0.673401379475816</x:v>
      </x:c>
      <x:c r="O110" s="55" t="n">
        <x:v>453207.60107136203</x:v>
      </x:c>
      <x:c r="P110" s="55" t="n">
        <x:v>887899.6132601189</x:v>
      </x:c>
      <x:c r="Q110" s="55" t="n">
        <x:v>701395.0245607767</x:v>
      </x:c>
      <x:c r="R110" s="54" t="n">
        <x:v>0.84</x:v>
      </x:c>
      <x:c r="S110" s="54" t="n">
        <x:v>0.8</x:v>
      </x:c>
      <x:c r="T110" s="54" t="n">
        <x:v>0.33</x:v>
      </x:c>
      <x:c r="U110" s="54" t="n">
        <x:v>0.78</x:v>
      </x:c>
      <x:c r="V110" s="54" t="n">
        <x:v>0.11</x:v>
      </x:c>
      <x:c r="W110" s="53" t="str">
        <x:v>calibrated reconstruction; not historical author input</x:v>
      </x:c>
    </x:row>
    <x:row r="111" ht="28" hidden="0" customHeight="1">
      <x:c r="A111" s="48" t="str">
        <x:v>x_r14_s3_m2</x:v>
      </x:c>
      <x:c r="B111" s="48" t="str">
        <x:v>r14</x:v>
      </x:c>
      <x:c r="C111" s="48" t="str">
        <x:v>CN-JX</x:v>
      </x:c>
      <x:c r="D111" s="48" t="str">
        <x:v>Jiangxi</x:v>
      </x:c>
      <x:c r="E111" s="48" t="str">
        <x:v>江西</x:v>
      </x:c>
      <x:c r="F111" s="48" t="n">
        <x:v>3</x:v>
      </x:c>
      <x:c r="G111" s="48" t="str">
        <x:v>marine_aquaculture</x:v>
      </x:c>
      <x:c r="H111" s="48" t="str">
        <x:v>海水养殖</x:v>
      </x:c>
      <x:c r="I111" s="48" t="n">
        <x:v>2</x:v>
      </x:c>
      <x:c r="J111" s="48" t="str">
        <x:v>deep_processing</x:v>
      </x:c>
      <x:c r="K111" s="48" t="str">
        <x:v>深加工</x:v>
      </x:c>
      <x:c r="L111" s="55" t="n">
        <x:v>338896.77916499175</x:v>
      </x:c>
      <x:c r="M111" s="54" t="n">
        <x:v>0.037988153872838916</x:v>
      </x:c>
      <x:c r="N111" s="54" t="n">
        <x:v>0.673401379475816</x:v>
      </x:c>
      <x:c r="O111" s="55" t="n">
        <x:v>453207.60107136203</x:v>
      </x:c>
      <x:c r="P111" s="55" t="n">
        <x:v>887899.6132601189</x:v>
      </x:c>
      <x:c r="Q111" s="55" t="n">
        <x:v>701395.0245607767</x:v>
      </x:c>
      <x:c r="R111" s="54" t="n">
        <x:v>1.02</x:v>
      </x:c>
      <x:c r="S111" s="54" t="n">
        <x:v>1.16</x:v>
      </x:c>
      <x:c r="T111" s="54" t="n">
        <x:v>0.41</x:v>
      </x:c>
      <x:c r="U111" s="54" t="n">
        <x:v>0.81</x:v>
      </x:c>
      <x:c r="V111" s="54" t="n">
        <x:v>0.11</x:v>
      </x:c>
      <x:c r="W111" s="53" t="str">
        <x:v>calibrated reconstruction; not historical author input</x:v>
      </x:c>
    </x:row>
    <x:row r="112" ht="28" hidden="0" customHeight="1">
      <x:c r="A112" s="48" t="str">
        <x:v>x_r14_s4_m1</x:v>
      </x:c>
      <x:c r="B112" s="48" t="str">
        <x:v>r14</x:v>
      </x:c>
      <x:c r="C112" s="48" t="str">
        <x:v>CN-JX</x:v>
      </x:c>
      <x:c r="D112" s="48" t="str">
        <x:v>Jiangxi</x:v>
      </x:c>
      <x:c r="E112" s="48" t="str">
        <x:v>江西</x:v>
      </x:c>
      <x:c r="F112" s="48" t="n">
        <x:v>4</x:v>
      </x:c>
      <x:c r="G112" s="48" t="str">
        <x:v>freshwater_aquaculture</x:v>
      </x:c>
      <x:c r="H112" s="48" t="str">
        <x:v>淡水养殖</x:v>
      </x:c>
      <x:c r="I112" s="48" t="n">
        <x:v>1</x:v>
      </x:c>
      <x:c r="J112" s="48" t="str">
        <x:v>fresh_sales</x:v>
      </x:c>
      <x:c r="K112" s="48" t="str">
        <x:v>鲜销</x:v>
      </x:c>
      <x:c r="L112" s="55" t="n">
        <x:v>1072162.0989932173</x:v>
      </x:c>
      <x:c r="M112" s="54" t="n">
        <x:v>0.037988153872838916</x:v>
      </x:c>
      <x:c r="N112" s="54" t="n">
        <x:v>0.673401379475816</x:v>
      </x:c>
      <x:c r="O112" s="55" t="n">
        <x:v>453207.60107136203</x:v>
      </x:c>
      <x:c r="P112" s="55" t="n">
        <x:v>887899.6132601189</x:v>
      </x:c>
      <x:c r="Q112" s="55" t="n">
        <x:v>701395.0245607767</x:v>
      </x:c>
      <x:c r="R112" s="54" t="n">
        <x:v>0.88</x:v>
      </x:c>
      <x:c r="S112" s="54" t="n">
        <x:v>0.84</x:v>
      </x:c>
      <x:c r="T112" s="54" t="n">
        <x:v>0.31</x:v>
      </x:c>
      <x:c r="U112" s="54" t="n">
        <x:v>0.88</x:v>
      </x:c>
      <x:c r="V112" s="54" t="n">
        <x:v>0.08</x:v>
      </x:c>
      <x:c r="W112" s="53" t="str">
        <x:v>calibrated reconstruction; not historical author input</x:v>
      </x:c>
    </x:row>
    <x:row r="113" ht="28" hidden="0" customHeight="1">
      <x:c r="A113" s="48" t="str">
        <x:v>x_r14_s4_m2</x:v>
      </x:c>
      <x:c r="B113" s="48" t="str">
        <x:v>r14</x:v>
      </x:c>
      <x:c r="C113" s="48" t="str">
        <x:v>CN-JX</x:v>
      </x:c>
      <x:c r="D113" s="48" t="str">
        <x:v>Jiangxi</x:v>
      </x:c>
      <x:c r="E113" s="48" t="str">
        <x:v>江西</x:v>
      </x:c>
      <x:c r="F113" s="48" t="n">
        <x:v>4</x:v>
      </x:c>
      <x:c r="G113" s="48" t="str">
        <x:v>freshwater_aquaculture</x:v>
      </x:c>
      <x:c r="H113" s="48" t="str">
        <x:v>淡水养殖</x:v>
      </x:c>
      <x:c r="I113" s="48" t="n">
        <x:v>2</x:v>
      </x:c>
      <x:c r="J113" s="48" t="str">
        <x:v>deep_processing</x:v>
      </x:c>
      <x:c r="K113" s="48" t="str">
        <x:v>深加工</x:v>
      </x:c>
      <x:c r="L113" s="55" t="n">
        <x:v>481696.0154897063</x:v>
      </x:c>
      <x:c r="M113" s="54" t="n">
        <x:v>0.037988153872838916</x:v>
      </x:c>
      <x:c r="N113" s="54" t="n">
        <x:v>0.673401379475816</x:v>
      </x:c>
      <x:c r="O113" s="55" t="n">
        <x:v>453207.60107136203</x:v>
      </x:c>
      <x:c r="P113" s="55" t="n">
        <x:v>887899.6132601189</x:v>
      </x:c>
      <x:c r="Q113" s="55" t="n">
        <x:v>701395.0245607767</x:v>
      </x:c>
      <x:c r="R113" s="54" t="n">
        <x:v>1.06</x:v>
      </x:c>
      <x:c r="S113" s="54" t="n">
        <x:v>1.2</x:v>
      </x:c>
      <x:c r="T113" s="54" t="n">
        <x:v>0.39</x:v>
      </x:c>
      <x:c r="U113" s="54" t="n">
        <x:v>0.91</x:v>
      </x:c>
      <x:c r="V113" s="54" t="n">
        <x:v>0.08</x:v>
      </x:c>
      <x:c r="W113" s="53" t="str">
        <x:v>calibrated reconstruction; not historical author input</x:v>
      </x:c>
    </x:row>
    <x:row r="114" ht="28" hidden="0" customHeight="1">
      <x:c r="A114" s="48" t="str">
        <x:v>x_r15_s1_m1</x:v>
      </x:c>
      <x:c r="B114" s="48" t="str">
        <x:v>r15</x:v>
      </x:c>
      <x:c r="C114" s="48" t="str">
        <x:v>CN-SD</x:v>
      </x:c>
      <x:c r="D114" s="48" t="str">
        <x:v>Shandong</x:v>
      </x:c>
      <x:c r="E114" s="48" t="str">
        <x:v>山东</x:v>
      </x:c>
      <x:c r="F114" s="48" t="n">
        <x:v>1</x:v>
      </x:c>
      <x:c r="G114" s="48" t="str">
        <x:v>marine_capture</x:v>
      </x:c>
      <x:c r="H114" s="48" t="str">
        <x:v>海洋捕捞</x:v>
      </x:c>
      <x:c r="I114" s="48" t="n">
        <x:v>1</x:v>
      </x:c>
      <x:c r="J114" s="48" t="str">
        <x:v>fresh_sales</x:v>
      </x:c>
      <x:c r="K114" s="48" t="str">
        <x:v>鲜销</x:v>
      </x:c>
      <x:c r="L114" s="55" t="n">
        <x:v>246960.78548311006</x:v>
      </x:c>
      <x:c r="M114" s="54" t="n">
        <x:v>0.031046845492066894</x:v>
      </x:c>
      <x:c r="N114" s="54" t="n">
        <x:v>0.6471659495304981</x:v>
      </x:c>
      <x:c r="O114" s="55" t="n">
        <x:v>380071.6249390746</x:v>
      </x:c>
      <x:c r="P114" s="55" t="n">
        <x:v>705002.5643913081</x:v>
      </x:c>
      <x:c r="Q114" s="55" t="n">
        <x:v>581829.8823822396</x:v>
      </x:c>
      <x:c r="R114" s="54" t="n">
        <x:v>0.65</x:v>
      </x:c>
      <x:c r="S114" s="54" t="n">
        <x:v>0.62</x:v>
      </x:c>
      <x:c r="T114" s="54" t="n">
        <x:v>0.29</x:v>
      </x:c>
      <x:c r="U114" s="54" t="n">
        <x:v>0.28</x:v>
      </x:c>
      <x:c r="V114" s="54" t="n">
        <x:v>1</x:v>
      </x:c>
      <x:c r="W114" s="53" t="str">
        <x:v>calibrated reconstruction; not historical author input</x:v>
      </x:c>
    </x:row>
    <x:row r="115" ht="28" hidden="0" customHeight="1">
      <x:c r="A115" s="48" t="str">
        <x:v>x_r15_s1_m2</x:v>
      </x:c>
      <x:c r="B115" s="48" t="str">
        <x:v>r15</x:v>
      </x:c>
      <x:c r="C115" s="48" t="str">
        <x:v>CN-SD</x:v>
      </x:c>
      <x:c r="D115" s="48" t="str">
        <x:v>Shandong</x:v>
      </x:c>
      <x:c r="E115" s="48" t="str">
        <x:v>山东</x:v>
      </x:c>
      <x:c r="F115" s="48" t="n">
        <x:v>1</x:v>
      </x:c>
      <x:c r="G115" s="48" t="str">
        <x:v>marine_capture</x:v>
      </x:c>
      <x:c r="H115" s="48" t="str">
        <x:v>海洋捕捞</x:v>
      </x:c>
      <x:c r="I115" s="48" t="n">
        <x:v>2</x:v>
      </x:c>
      <x:c r="J115" s="48" t="str">
        <x:v>deep_processing</x:v>
      </x:c>
      <x:c r="K115" s="48" t="str">
        <x:v>深加工</x:v>
      </x:c>
      <x:c r="L115" s="55" t="n">
        <x:v>110953.39637646974</x:v>
      </x:c>
      <x:c r="M115" s="54" t="n">
        <x:v>0.031046845492066894</x:v>
      </x:c>
      <x:c r="N115" s="54" t="n">
        <x:v>0.6471659495304981</x:v>
      </x:c>
      <x:c r="O115" s="55" t="n">
        <x:v>380071.6249390746</x:v>
      </x:c>
      <x:c r="P115" s="55" t="n">
        <x:v>705002.5643913081</x:v>
      </x:c>
      <x:c r="Q115" s="55" t="n">
        <x:v>581829.8823822396</x:v>
      </x:c>
      <x:c r="R115" s="54" t="n">
        <x:v>0.82</x:v>
      </x:c>
      <x:c r="S115" s="54" t="n">
        <x:v>0.95</x:v>
      </x:c>
      <x:c r="T115" s="54" t="n">
        <x:v>0.36</x:v>
      </x:c>
      <x:c r="U115" s="54" t="n">
        <x:v>0.31</x:v>
      </x:c>
      <x:c r="V115" s="54" t="n">
        <x:v>1</x:v>
      </x:c>
      <x:c r="W115" s="53" t="str">
        <x:v>calibrated reconstruction; not historical author input</x:v>
      </x:c>
    </x:row>
    <x:row r="116" ht="28" hidden="0" customHeight="1">
      <x:c r="A116" s="48" t="str">
        <x:v>x_r15_s2_m1</x:v>
      </x:c>
      <x:c r="B116" s="48" t="str">
        <x:v>r15</x:v>
      </x:c>
      <x:c r="C116" s="48" t="str">
        <x:v>CN-SD</x:v>
      </x:c>
      <x:c r="D116" s="48" t="str">
        <x:v>Shandong</x:v>
      </x:c>
      <x:c r="E116" s="48" t="str">
        <x:v>山东</x:v>
      </x:c>
      <x:c r="F116" s="48" t="n">
        <x:v>2</x:v>
      </x:c>
      <x:c r="G116" s="48" t="str">
        <x:v>freshwater_capture</x:v>
      </x:c>
      <x:c r="H116" s="48" t="str">
        <x:v>淡水捕捞</x:v>
      </x:c>
      <x:c r="I116" s="48" t="n">
        <x:v>1</x:v>
      </x:c>
      <x:c r="J116" s="48" t="str">
        <x:v>fresh_sales</x:v>
      </x:c>
      <x:c r="K116" s="48" t="str">
        <x:v>鲜销</x:v>
      </x:c>
      <x:c r="L116" s="55" t="n">
        <x:v>89637.61843461033</x:v>
      </x:c>
      <x:c r="M116" s="54" t="n">
        <x:v>0.031046845492066894</x:v>
      </x:c>
      <x:c r="N116" s="54" t="n">
        <x:v>0.6471659495304981</x:v>
      </x:c>
      <x:c r="O116" s="55" t="n">
        <x:v>380071.6249390746</x:v>
      </x:c>
      <x:c r="P116" s="55" t="n">
        <x:v>705002.5643913081</x:v>
      </x:c>
      <x:c r="Q116" s="55" t="n">
        <x:v>581829.8823822396</x:v>
      </x:c>
      <x:c r="R116" s="54" t="n">
        <x:v>0.7</x:v>
      </x:c>
      <x:c r="S116" s="54" t="n">
        <x:v>0.67</x:v>
      </x:c>
      <x:c r="T116" s="54" t="n">
        <x:v>0.26</x:v>
      </x:c>
      <x:c r="U116" s="54" t="n">
        <x:v>0.42</x:v>
      </x:c>
      <x:c r="V116" s="54" t="n">
        <x:v>0.7</x:v>
      </x:c>
      <x:c r="W116" s="53" t="str">
        <x:v>calibrated reconstruction; not historical author input</x:v>
      </x:c>
    </x:row>
    <x:row r="117" ht="28" hidden="0" customHeight="1">
      <x:c r="A117" s="48" t="str">
        <x:v>x_r15_s2_m2</x:v>
      </x:c>
      <x:c r="B117" s="48" t="str">
        <x:v>r15</x:v>
      </x:c>
      <x:c r="C117" s="48" t="str">
        <x:v>CN-SD</x:v>
      </x:c>
      <x:c r="D117" s="48" t="str">
        <x:v>Shandong</x:v>
      </x:c>
      <x:c r="E117" s="48" t="str">
        <x:v>山东</x:v>
      </x:c>
      <x:c r="F117" s="48" t="n">
        <x:v>2</x:v>
      </x:c>
      <x:c r="G117" s="48" t="str">
        <x:v>freshwater_capture</x:v>
      </x:c>
      <x:c r="H117" s="48" t="str">
        <x:v>淡水捕捞</x:v>
      </x:c>
      <x:c r="I117" s="48" t="n">
        <x:v>2</x:v>
      </x:c>
      <x:c r="J117" s="48" t="str">
        <x:v>deep_processing</x:v>
      </x:c>
      <x:c r="K117" s="48" t="str">
        <x:v>深加工</x:v>
      </x:c>
      <x:c r="L117" s="55" t="n">
        <x:v>40271.97349960754</x:v>
      </x:c>
      <x:c r="M117" s="54" t="n">
        <x:v>0.031046845492066894</x:v>
      </x:c>
      <x:c r="N117" s="54" t="n">
        <x:v>0.6471659495304981</x:v>
      </x:c>
      <x:c r="O117" s="55" t="n">
        <x:v>380071.6249390746</x:v>
      </x:c>
      <x:c r="P117" s="55" t="n">
        <x:v>705002.5643913081</x:v>
      </x:c>
      <x:c r="Q117" s="55" t="n">
        <x:v>581829.8823822396</x:v>
      </x:c>
      <x:c r="R117" s="54" t="n">
        <x:v>0.86</x:v>
      </x:c>
      <x:c r="S117" s="54" t="n">
        <x:v>0.99</x:v>
      </x:c>
      <x:c r="T117" s="54" t="n">
        <x:v>0.34</x:v>
      </x:c>
      <x:c r="U117" s="54" t="n">
        <x:v>0.45</x:v>
      </x:c>
      <x:c r="V117" s="54" t="n">
        <x:v>0.7</x:v>
      </x:c>
      <x:c r="W117" s="53" t="str">
        <x:v>calibrated reconstruction; not historical author input</x:v>
      </x:c>
    </x:row>
    <x:row r="118" ht="28" hidden="0" customHeight="1">
      <x:c r="A118" s="48" t="str">
        <x:v>x_r15_s3_m1</x:v>
      </x:c>
      <x:c r="B118" s="48" t="str">
        <x:v>r15</x:v>
      </x:c>
      <x:c r="C118" s="48" t="str">
        <x:v>CN-SD</x:v>
      </x:c>
      <x:c r="D118" s="48" t="str">
        <x:v>Shandong</x:v>
      </x:c>
      <x:c r="E118" s="48" t="str">
        <x:v>山东</x:v>
      </x:c>
      <x:c r="F118" s="48" t="n">
        <x:v>3</x:v>
      </x:c>
      <x:c r="G118" s="48" t="str">
        <x:v>marine_aquaculture</x:v>
      </x:c>
      <x:c r="H118" s="48" t="str">
        <x:v>海水养殖</x:v>
      </x:c>
      <x:c r="I118" s="48" t="n">
        <x:v>1</x:v>
      </x:c>
      <x:c r="J118" s="48" t="str">
        <x:v>fresh_sales</x:v>
      </x:c>
      <x:c r="K118" s="48" t="str">
        <x:v>鲜销</x:v>
      </x:c>
      <x:c r="L118" s="55" t="n">
        <x:v>616487.2941319118</x:v>
      </x:c>
      <x:c r="M118" s="54" t="n">
        <x:v>0.031046845492066894</x:v>
      </x:c>
      <x:c r="N118" s="54" t="n">
        <x:v>0.6471659495304981</x:v>
      </x:c>
      <x:c r="O118" s="55" t="n">
        <x:v>380071.6249390746</x:v>
      </x:c>
      <x:c r="P118" s="55" t="n">
        <x:v>705002.5643913081</x:v>
      </x:c>
      <x:c r="Q118" s="55" t="n">
        <x:v>581829.8823822396</x:v>
      </x:c>
      <x:c r="R118" s="54" t="n">
        <x:v>0.84</x:v>
      </x:c>
      <x:c r="S118" s="54" t="n">
        <x:v>0.8</x:v>
      </x:c>
      <x:c r="T118" s="54" t="n">
        <x:v>0.33</x:v>
      </x:c>
      <x:c r="U118" s="54" t="n">
        <x:v>0.78</x:v>
      </x:c>
      <x:c r="V118" s="54" t="n">
        <x:v>0.11</x:v>
      </x:c>
      <x:c r="W118" s="53" t="str">
        <x:v>calibrated reconstruction; not historical author input</x:v>
      </x:c>
    </x:row>
    <x:row r="119" ht="28" hidden="0" customHeight="1">
      <x:c r="A119" s="48" t="str">
        <x:v>x_r15_s3_m2</x:v>
      </x:c>
      <x:c r="B119" s="48" t="str">
        <x:v>r15</x:v>
      </x:c>
      <x:c r="C119" s="48" t="str">
        <x:v>CN-SD</x:v>
      </x:c>
      <x:c r="D119" s="48" t="str">
        <x:v>Shandong</x:v>
      </x:c>
      <x:c r="E119" s="48" t="str">
        <x:v>山东</x:v>
      </x:c>
      <x:c r="F119" s="48" t="n">
        <x:v>3</x:v>
      </x:c>
      <x:c r="G119" s="48" t="str">
        <x:v>marine_aquaculture</x:v>
      </x:c>
      <x:c r="H119" s="48" t="str">
        <x:v>海水养殖</x:v>
      </x:c>
      <x:c r="I119" s="48" t="n">
        <x:v>2</x:v>
      </x:c>
      <x:c r="J119" s="48" t="str">
        <x:v>deep_processing</x:v>
      </x:c>
      <x:c r="K119" s="48" t="str">
        <x:v>深加工</x:v>
      </x:c>
      <x:c r="L119" s="55" t="n">
        <x:v>276972.55243607634</x:v>
      </x:c>
      <x:c r="M119" s="54" t="n">
        <x:v>0.031046845492066894</x:v>
      </x:c>
      <x:c r="N119" s="54" t="n">
        <x:v>0.6471659495304981</x:v>
      </x:c>
      <x:c r="O119" s="55" t="n">
        <x:v>380071.6249390746</x:v>
      </x:c>
      <x:c r="P119" s="55" t="n">
        <x:v>705002.5643913081</x:v>
      </x:c>
      <x:c r="Q119" s="55" t="n">
        <x:v>581829.8823822396</x:v>
      </x:c>
      <x:c r="R119" s="54" t="n">
        <x:v>1.02</x:v>
      </x:c>
      <x:c r="S119" s="54" t="n">
        <x:v>1.16</x:v>
      </x:c>
      <x:c r="T119" s="54" t="n">
        <x:v>0.41</x:v>
      </x:c>
      <x:c r="U119" s="54" t="n">
        <x:v>0.81</x:v>
      </x:c>
      <x:c r="V119" s="54" t="n">
        <x:v>0.11</x:v>
      </x:c>
      <x:c r="W119" s="53" t="str">
        <x:v>calibrated reconstruction; not historical author input</x:v>
      </x:c>
    </x:row>
    <x:row r="120" ht="28" hidden="0" customHeight="1">
      <x:c r="A120" s="48" t="str">
        <x:v>x_r15_s4_m1</x:v>
      </x:c>
      <x:c r="B120" s="48" t="str">
        <x:v>r15</x:v>
      </x:c>
      <x:c r="C120" s="48" t="str">
        <x:v>CN-SD</x:v>
      </x:c>
      <x:c r="D120" s="48" t="str">
        <x:v>Shandong</x:v>
      </x:c>
      <x:c r="E120" s="48" t="str">
        <x:v>山东</x:v>
      </x:c>
      <x:c r="F120" s="48" t="n">
        <x:v>4</x:v>
      </x:c>
      <x:c r="G120" s="48" t="str">
        <x:v>freshwater_aquaculture</x:v>
      </x:c>
      <x:c r="H120" s="48" t="str">
        <x:v>淡水养殖</x:v>
      </x:c>
      <x:c r="I120" s="48" t="n">
        <x:v>1</x:v>
      </x:c>
      <x:c r="J120" s="48" t="str">
        <x:v>fresh_sales</x:v>
      </x:c>
      <x:c r="K120" s="48" t="str">
        <x:v>鲜销</x:v>
      </x:c>
      <x:c r="L120" s="55" t="n">
        <x:v>876253.453677109</x:v>
      </x:c>
      <x:c r="M120" s="54" t="n">
        <x:v>0.031046845492066894</x:v>
      </x:c>
      <x:c r="N120" s="54" t="n">
        <x:v>0.6471659495304981</x:v>
      </x:c>
      <x:c r="O120" s="55" t="n">
        <x:v>380071.6249390746</x:v>
      </x:c>
      <x:c r="P120" s="55" t="n">
        <x:v>705002.5643913081</x:v>
      </x:c>
      <x:c r="Q120" s="55" t="n">
        <x:v>581829.8823822396</x:v>
      </x:c>
      <x:c r="R120" s="54" t="n">
        <x:v>0.88</x:v>
      </x:c>
      <x:c r="S120" s="54" t="n">
        <x:v>0.84</x:v>
      </x:c>
      <x:c r="T120" s="54" t="n">
        <x:v>0.31</x:v>
      </x:c>
      <x:c r="U120" s="54" t="n">
        <x:v>0.88</x:v>
      </x:c>
      <x:c r="V120" s="54" t="n">
        <x:v>0.08</x:v>
      </x:c>
      <x:c r="W120" s="53" t="str">
        <x:v>calibrated reconstruction; not historical author input</x:v>
      </x:c>
    </x:row>
    <x:row r="121" ht="28" hidden="0" customHeight="1">
      <x:c r="A121" s="48" t="str">
        <x:v>x_r15_s4_m2</x:v>
      </x:c>
      <x:c r="B121" s="48" t="str">
        <x:v>r15</x:v>
      </x:c>
      <x:c r="C121" s="48" t="str">
        <x:v>CN-SD</x:v>
      </x:c>
      <x:c r="D121" s="48" t="str">
        <x:v>Shandong</x:v>
      </x:c>
      <x:c r="E121" s="48" t="str">
        <x:v>山东</x:v>
      </x:c>
      <x:c r="F121" s="48" t="n">
        <x:v>4</x:v>
      </x:c>
      <x:c r="G121" s="48" t="str">
        <x:v>freshwater_aquaculture</x:v>
      </x:c>
      <x:c r="H121" s="48" t="str">
        <x:v>淡水养殖</x:v>
      </x:c>
      <x:c r="I121" s="48" t="n">
        <x:v>2</x:v>
      </x:c>
      <x:c r="J121" s="48" t="str">
        <x:v>deep_processing</x:v>
      </x:c>
      <x:c r="K121" s="48" t="str">
        <x:v>深加工</x:v>
      </x:c>
      <x:c r="L121" s="55" t="n">
        <x:v>393679.08788391855</x:v>
      </x:c>
      <x:c r="M121" s="54" t="n">
        <x:v>0.031046845492066894</x:v>
      </x:c>
      <x:c r="N121" s="54" t="n">
        <x:v>0.6471659495304981</x:v>
      </x:c>
      <x:c r="O121" s="55" t="n">
        <x:v>380071.6249390746</x:v>
      </x:c>
      <x:c r="P121" s="55" t="n">
        <x:v>705002.5643913081</x:v>
      </x:c>
      <x:c r="Q121" s="55" t="n">
        <x:v>581829.8823822396</x:v>
      </x:c>
      <x:c r="R121" s="54" t="n">
        <x:v>1.06</x:v>
      </x:c>
      <x:c r="S121" s="54" t="n">
        <x:v>1.2</x:v>
      </x:c>
      <x:c r="T121" s="54" t="n">
        <x:v>0.39</x:v>
      </x:c>
      <x:c r="U121" s="54" t="n">
        <x:v>0.91</x:v>
      </x:c>
      <x:c r="V121" s="54" t="n">
        <x:v>0.08</x:v>
      </x:c>
      <x:c r="W121" s="53" t="str">
        <x:v>calibrated reconstruction; not historical author input</x:v>
      </x:c>
    </x:row>
    <x:row r="122" ht="28" hidden="0" customHeight="1">
      <x:c r="A122" s="48" t="str">
        <x:v>x_r16_s1_m1</x:v>
      </x:c>
      <x:c r="B122" s="48" t="str">
        <x:v>r16</x:v>
      </x:c>
      <x:c r="C122" s="48" t="str">
        <x:v>CN-HA</x:v>
      </x:c>
      <x:c r="D122" s="48" t="str">
        <x:v>Henan</x:v>
      </x:c>
      <x:c r="E122" s="48" t="str">
        <x:v>河南</x:v>
      </x:c>
      <x:c r="F122" s="48" t="n">
        <x:v>1</x:v>
      </x:c>
      <x:c r="G122" s="48" t="str">
        <x:v>marine_capture</x:v>
      </x:c>
      <x:c r="H122" s="48" t="str">
        <x:v>海洋捕捞</x:v>
      </x:c>
      <x:c r="I122" s="48" t="n">
        <x:v>1</x:v>
      </x:c>
      <x:c r="J122" s="48" t="str">
        <x:v>fresh_sales</x:v>
      </x:c>
      <x:c r="K122" s="48" t="str">
        <x:v>鲜销</x:v>
      </x:c>
      <x:c r="L122" s="55" t="n">
        <x:v>295720.54475373053</x:v>
      </x:c>
      <x:c r="M122" s="54" t="n">
        <x:v>0.03717671226157821</x:v>
      </x:c>
      <x:c r="N122" s="54" t="n">
        <x:v>0.7369182196968678</x:v>
      </x:c>
      <x:c r="O122" s="55" t="n">
        <x:v>433716.4556252219</x:v>
      </x:c>
      <x:c r="P122" s="55" t="n">
        <x:v>819461.7886694223</x:v>
      </x:c>
      <x:c r="Q122" s="55" t="n">
        <x:v>702312.3891192329</x:v>
      </x:c>
      <x:c r="R122" s="54" t="n">
        <x:v>0.65</x:v>
      </x:c>
      <x:c r="S122" s="54" t="n">
        <x:v>0.62</x:v>
      </x:c>
      <x:c r="T122" s="54" t="n">
        <x:v>0.29</x:v>
      </x:c>
      <x:c r="U122" s="54" t="n">
        <x:v>0.28</x:v>
      </x:c>
      <x:c r="V122" s="54" t="n">
        <x:v>1</x:v>
      </x:c>
      <x:c r="W122" s="53" t="str">
        <x:v>calibrated reconstruction; not historical author input</x:v>
      </x:c>
    </x:row>
    <x:row r="123" ht="28" hidden="0" customHeight="1">
      <x:c r="A123" s="48" t="str">
        <x:v>x_r16_s1_m2</x:v>
      </x:c>
      <x:c r="B123" s="48" t="str">
        <x:v>r16</x:v>
      </x:c>
      <x:c r="C123" s="48" t="str">
        <x:v>CN-HA</x:v>
      </x:c>
      <x:c r="D123" s="48" t="str">
        <x:v>Henan</x:v>
      </x:c>
      <x:c r="E123" s="48" t="str">
        <x:v>河南</x:v>
      </x:c>
      <x:c r="F123" s="48" t="n">
        <x:v>1</x:v>
      </x:c>
      <x:c r="G123" s="48" t="str">
        <x:v>marine_capture</x:v>
      </x:c>
      <x:c r="H123" s="48" t="str">
        <x:v>海洋捕捞</x:v>
      </x:c>
      <x:c r="I123" s="48" t="n">
        <x:v>2</x:v>
      </x:c>
      <x:c r="J123" s="48" t="str">
        <x:v>deep_processing</x:v>
      </x:c>
      <x:c r="K123" s="48" t="str">
        <x:v>深加工</x:v>
      </x:c>
      <x:c r="L123" s="55" t="n">
        <x:v>132859.9548893572</x:v>
      </x:c>
      <x:c r="M123" s="54" t="n">
        <x:v>0.03717671226157821</x:v>
      </x:c>
      <x:c r="N123" s="54" t="n">
        <x:v>0.7369182196968678</x:v>
      </x:c>
      <x:c r="O123" s="55" t="n">
        <x:v>433716.4556252219</x:v>
      </x:c>
      <x:c r="P123" s="55" t="n">
        <x:v>819461.7886694223</x:v>
      </x:c>
      <x:c r="Q123" s="55" t="n">
        <x:v>702312.3891192329</x:v>
      </x:c>
      <x:c r="R123" s="54" t="n">
        <x:v>0.82</x:v>
      </x:c>
      <x:c r="S123" s="54" t="n">
        <x:v>0.95</x:v>
      </x:c>
      <x:c r="T123" s="54" t="n">
        <x:v>0.36</x:v>
      </x:c>
      <x:c r="U123" s="54" t="n">
        <x:v>0.31</x:v>
      </x:c>
      <x:c r="V123" s="54" t="n">
        <x:v>1</x:v>
      </x:c>
      <x:c r="W123" s="53" t="str">
        <x:v>calibrated reconstruction; not historical author input</x:v>
      </x:c>
    </x:row>
    <x:row r="124" ht="28" hidden="0" customHeight="1">
      <x:c r="A124" s="48" t="str">
        <x:v>x_r16_s2_m1</x:v>
      </x:c>
      <x:c r="B124" s="48" t="str">
        <x:v>r16</x:v>
      </x:c>
      <x:c r="C124" s="48" t="str">
        <x:v>CN-HA</x:v>
      </x:c>
      <x:c r="D124" s="48" t="str">
        <x:v>Henan</x:v>
      </x:c>
      <x:c r="E124" s="48" t="str">
        <x:v>河南</x:v>
      </x:c>
      <x:c r="F124" s="48" t="n">
        <x:v>2</x:v>
      </x:c>
      <x:c r="G124" s="48" t="str">
        <x:v>freshwater_capture</x:v>
      </x:c>
      <x:c r="H124" s="48" t="str">
        <x:v>淡水捕捞</x:v>
      </x:c>
      <x:c r="I124" s="48" t="n">
        <x:v>1</x:v>
      </x:c>
      <x:c r="J124" s="48" t="str">
        <x:v>fresh_sales</x:v>
      </x:c>
      <x:c r="K124" s="48" t="str">
        <x:v>鲜销</x:v>
      </x:c>
      <x:c r="L124" s="55" t="n">
        <x:v>107335.60513283551</x:v>
      </x:c>
      <x:c r="M124" s="54" t="n">
        <x:v>0.03717671226157821</x:v>
      </x:c>
      <x:c r="N124" s="54" t="n">
        <x:v>0.7369182196968678</x:v>
      </x:c>
      <x:c r="O124" s="55" t="n">
        <x:v>433716.4556252219</x:v>
      </x:c>
      <x:c r="P124" s="55" t="n">
        <x:v>819461.7886694223</x:v>
      </x:c>
      <x:c r="Q124" s="55" t="n">
        <x:v>702312.3891192329</x:v>
      </x:c>
      <x:c r="R124" s="54" t="n">
        <x:v>0.7</x:v>
      </x:c>
      <x:c r="S124" s="54" t="n">
        <x:v>0.67</x:v>
      </x:c>
      <x:c r="T124" s="54" t="n">
        <x:v>0.26</x:v>
      </x:c>
      <x:c r="U124" s="54" t="n">
        <x:v>0.42</x:v>
      </x:c>
      <x:c r="V124" s="54" t="n">
        <x:v>0.7</x:v>
      </x:c>
      <x:c r="W124" s="53" t="str">
        <x:v>calibrated reconstruction; not historical author input</x:v>
      </x:c>
    </x:row>
    <x:row r="125" ht="28" hidden="0" customHeight="1">
      <x:c r="A125" s="48" t="str">
        <x:v>x_r16_s2_m2</x:v>
      </x:c>
      <x:c r="B125" s="48" t="str">
        <x:v>r16</x:v>
      </x:c>
      <x:c r="C125" s="48" t="str">
        <x:v>CN-HA</x:v>
      </x:c>
      <x:c r="D125" s="48" t="str">
        <x:v>Henan</x:v>
      </x:c>
      <x:c r="E125" s="48" t="str">
        <x:v>河南</x:v>
      </x:c>
      <x:c r="F125" s="48" t="n">
        <x:v>2</x:v>
      </x:c>
      <x:c r="G125" s="48" t="str">
        <x:v>freshwater_capture</x:v>
      </x:c>
      <x:c r="H125" s="48" t="str">
        <x:v>淡水捕捞</x:v>
      </x:c>
      <x:c r="I125" s="48" t="n">
        <x:v>2</x:v>
      </x:c>
      <x:c r="J125" s="48" t="str">
        <x:v>deep_processing</x:v>
      </x:c>
      <x:c r="K125" s="48" t="str">
        <x:v>深加工</x:v>
      </x:c>
      <x:c r="L125" s="55" t="n">
        <x:v>48223.24288576668</x:v>
      </x:c>
      <x:c r="M125" s="54" t="n">
        <x:v>0.03717671226157821</x:v>
      </x:c>
      <x:c r="N125" s="54" t="n">
        <x:v>0.7369182196968678</x:v>
      </x:c>
      <x:c r="O125" s="55" t="n">
        <x:v>433716.4556252219</x:v>
      </x:c>
      <x:c r="P125" s="55" t="n">
        <x:v>819461.7886694223</x:v>
      </x:c>
      <x:c r="Q125" s="55" t="n">
        <x:v>702312.3891192329</x:v>
      </x:c>
      <x:c r="R125" s="54" t="n">
        <x:v>0.86</x:v>
      </x:c>
      <x:c r="S125" s="54" t="n">
        <x:v>0.99</x:v>
      </x:c>
      <x:c r="T125" s="54" t="n">
        <x:v>0.34</x:v>
      </x:c>
      <x:c r="U125" s="54" t="n">
        <x:v>0.45</x:v>
      </x:c>
      <x:c r="V125" s="54" t="n">
        <x:v>0.7</x:v>
      </x:c>
      <x:c r="W125" s="53" t="str">
        <x:v>calibrated reconstruction; not historical author input</x:v>
      </x:c>
    </x:row>
    <x:row r="126" ht="28" hidden="0" customHeight="1">
      <x:c r="A126" s="48" t="str">
        <x:v>x_r16_s3_m1</x:v>
      </x:c>
      <x:c r="B126" s="48" t="str">
        <x:v>r16</x:v>
      </x:c>
      <x:c r="C126" s="48" t="str">
        <x:v>CN-HA</x:v>
      </x:c>
      <x:c r="D126" s="48" t="str">
        <x:v>Henan</x:v>
      </x:c>
      <x:c r="E126" s="48" t="str">
        <x:v>河南</x:v>
      </x:c>
      <x:c r="F126" s="48" t="n">
        <x:v>3</x:v>
      </x:c>
      <x:c r="G126" s="48" t="str">
        <x:v>marine_aquaculture</x:v>
      </x:c>
      <x:c r="H126" s="48" t="str">
        <x:v>海水养殖</x:v>
      </x:c>
      <x:c r="I126" s="48" t="n">
        <x:v>1</x:v>
      </x:c>
      <x:c r="J126" s="48" t="str">
        <x:v>fresh_sales</x:v>
      </x:c>
      <x:c r="K126" s="48" t="str">
        <x:v>鲜销</x:v>
      </x:c>
      <x:c r="L126" s="55" t="n">
        <x:v>738206.1006074606</x:v>
      </x:c>
      <x:c r="M126" s="54" t="n">
        <x:v>0.03717671226157821</x:v>
      </x:c>
      <x:c r="N126" s="54" t="n">
        <x:v>0.7369182196968678</x:v>
      </x:c>
      <x:c r="O126" s="55" t="n">
        <x:v>433716.4556252219</x:v>
      </x:c>
      <x:c r="P126" s="55" t="n">
        <x:v>819461.7886694223</x:v>
      </x:c>
      <x:c r="Q126" s="55" t="n">
        <x:v>702312.3891192329</x:v>
      </x:c>
      <x:c r="R126" s="54" t="n">
        <x:v>0.84</x:v>
      </x:c>
      <x:c r="S126" s="54" t="n">
        <x:v>0.8</x:v>
      </x:c>
      <x:c r="T126" s="54" t="n">
        <x:v>0.33</x:v>
      </x:c>
      <x:c r="U126" s="54" t="n">
        <x:v>0.78</x:v>
      </x:c>
      <x:c r="V126" s="54" t="n">
        <x:v>0.11</x:v>
      </x:c>
      <x:c r="W126" s="53" t="str">
        <x:v>calibrated reconstruction; not historical author input</x:v>
      </x:c>
    </x:row>
    <x:row r="127" ht="28" hidden="0" customHeight="1">
      <x:c r="A127" s="48" t="str">
        <x:v>x_r16_s3_m2</x:v>
      </x:c>
      <x:c r="B127" s="48" t="str">
        <x:v>r16</x:v>
      </x:c>
      <x:c r="C127" s="48" t="str">
        <x:v>CN-HA</x:v>
      </x:c>
      <x:c r="D127" s="48" t="str">
        <x:v>Henan</x:v>
      </x:c>
      <x:c r="E127" s="48" t="str">
        <x:v>河南</x:v>
      </x:c>
      <x:c r="F127" s="48" t="n">
        <x:v>3</x:v>
      </x:c>
      <x:c r="G127" s="48" t="str">
        <x:v>marine_aquaculture</x:v>
      </x:c>
      <x:c r="H127" s="48" t="str">
        <x:v>海水养殖</x:v>
      </x:c>
      <x:c r="I127" s="48" t="n">
        <x:v>2</x:v>
      </x:c>
      <x:c r="J127" s="48" t="str">
        <x:v>deep_processing</x:v>
      </x:c>
      <x:c r="K127" s="48" t="str">
        <x:v>深加工</x:v>
      </x:c>
      <x:c r="L127" s="55" t="n">
        <x:v>331657.8133163954</x:v>
      </x:c>
      <x:c r="M127" s="54" t="n">
        <x:v>0.03717671226157821</x:v>
      </x:c>
      <x:c r="N127" s="54" t="n">
        <x:v>0.7369182196968678</x:v>
      </x:c>
      <x:c r="O127" s="55" t="n">
        <x:v>433716.4556252219</x:v>
      </x:c>
      <x:c r="P127" s="55" t="n">
        <x:v>819461.7886694223</x:v>
      </x:c>
      <x:c r="Q127" s="55" t="n">
        <x:v>702312.3891192329</x:v>
      </x:c>
      <x:c r="R127" s="54" t="n">
        <x:v>1.02</x:v>
      </x:c>
      <x:c r="S127" s="54" t="n">
        <x:v>1.16</x:v>
      </x:c>
      <x:c r="T127" s="54" t="n">
        <x:v>0.41</x:v>
      </x:c>
      <x:c r="U127" s="54" t="n">
        <x:v>0.81</x:v>
      </x:c>
      <x:c r="V127" s="54" t="n">
        <x:v>0.11</x:v>
      </x:c>
      <x:c r="W127" s="53" t="str">
        <x:v>calibrated reconstruction; not historical author input</x:v>
      </x:c>
    </x:row>
    <x:row r="128" ht="28" hidden="0" customHeight="1">
      <x:c r="A128" s="48" t="str">
        <x:v>x_r16_s4_m1</x:v>
      </x:c>
      <x:c r="B128" s="48" t="str">
        <x:v>r16</x:v>
      </x:c>
      <x:c r="C128" s="48" t="str">
        <x:v>CN-HA</x:v>
      </x:c>
      <x:c r="D128" s="48" t="str">
        <x:v>Henan</x:v>
      </x:c>
      <x:c r="E128" s="48" t="str">
        <x:v>河南</x:v>
      </x:c>
      <x:c r="F128" s="48" t="n">
        <x:v>4</x:v>
      </x:c>
      <x:c r="G128" s="48" t="str">
        <x:v>freshwater_aquaculture</x:v>
      </x:c>
      <x:c r="H128" s="48" t="str">
        <x:v>淡水养殖</x:v>
      </x:c>
      <x:c r="I128" s="48" t="n">
        <x:v>1</x:v>
      </x:c>
      <x:c r="J128" s="48" t="str">
        <x:v>fresh_sales</x:v>
      </x:c>
      <x:c r="K128" s="48" t="str">
        <x:v>鲜销</x:v>
      </x:c>
      <x:c r="L128" s="55" t="n">
        <x:v>1049260.3032373104</x:v>
      </x:c>
      <x:c r="M128" s="54" t="n">
        <x:v>0.03717671226157821</x:v>
      </x:c>
      <x:c r="N128" s="54" t="n">
        <x:v>0.7369182196968678</x:v>
      </x:c>
      <x:c r="O128" s="55" t="n">
        <x:v>433716.4556252219</x:v>
      </x:c>
      <x:c r="P128" s="55" t="n">
        <x:v>819461.7886694223</x:v>
      </x:c>
      <x:c r="Q128" s="55" t="n">
        <x:v>702312.3891192329</x:v>
      </x:c>
      <x:c r="R128" s="54" t="n">
        <x:v>0.88</x:v>
      </x:c>
      <x:c r="S128" s="54" t="n">
        <x:v>0.84</x:v>
      </x:c>
      <x:c r="T128" s="54" t="n">
        <x:v>0.31</x:v>
      </x:c>
      <x:c r="U128" s="54" t="n">
        <x:v>0.88</x:v>
      </x:c>
      <x:c r="V128" s="54" t="n">
        <x:v>0.08</x:v>
      </x:c>
      <x:c r="W128" s="53" t="str">
        <x:v>calibrated reconstruction; not historical author input</x:v>
      </x:c>
    </x:row>
    <x:row r="129" ht="28" hidden="0" customHeight="1">
      <x:c r="A129" s="48" t="str">
        <x:v>x_r16_s4_m2</x:v>
      </x:c>
      <x:c r="B129" s="48" t="str">
        <x:v>r16</x:v>
      </x:c>
      <x:c r="C129" s="48" t="str">
        <x:v>CN-HA</x:v>
      </x:c>
      <x:c r="D129" s="48" t="str">
        <x:v>Henan</x:v>
      </x:c>
      <x:c r="E129" s="48" t="str">
        <x:v>河南</x:v>
      </x:c>
      <x:c r="F129" s="48" t="n">
        <x:v>4</x:v>
      </x:c>
      <x:c r="G129" s="48" t="str">
        <x:v>freshwater_aquaculture</x:v>
      </x:c>
      <x:c r="H129" s="48" t="str">
        <x:v>淡水养殖</x:v>
      </x:c>
      <x:c r="I129" s="48" t="n">
        <x:v>2</x:v>
      </x:c>
      <x:c r="J129" s="48" t="str">
        <x:v>deep_processing</x:v>
      </x:c>
      <x:c r="K129" s="48" t="str">
        <x:v>深加工</x:v>
      </x:c>
      <x:c r="L129" s="55" t="n">
        <x:v>471406.8029037192</x:v>
      </x:c>
      <x:c r="M129" s="54" t="n">
        <x:v>0.03717671226157821</x:v>
      </x:c>
      <x:c r="N129" s="54" t="n">
        <x:v>0.7369182196968678</x:v>
      </x:c>
      <x:c r="O129" s="55" t="n">
        <x:v>433716.4556252219</x:v>
      </x:c>
      <x:c r="P129" s="55" t="n">
        <x:v>819461.7886694223</x:v>
      </x:c>
      <x:c r="Q129" s="55" t="n">
        <x:v>702312.3891192329</x:v>
      </x:c>
      <x:c r="R129" s="54" t="n">
        <x:v>1.06</x:v>
      </x:c>
      <x:c r="S129" s="54" t="n">
        <x:v>1.2</x:v>
      </x:c>
      <x:c r="T129" s="54" t="n">
        <x:v>0.39</x:v>
      </x:c>
      <x:c r="U129" s="54" t="n">
        <x:v>0.91</x:v>
      </x:c>
      <x:c r="V129" s="54" t="n">
        <x:v>0.08</x:v>
      </x:c>
      <x:c r="W129" s="53" t="str">
        <x:v>calibrated reconstruction; not historical author input</x:v>
      </x:c>
    </x:row>
    <x:row r="130" ht="28" hidden="0" customHeight="1">
      <x:c r="A130" s="48" t="str">
        <x:v>x_r17_s1_m1</x:v>
      </x:c>
      <x:c r="B130" s="48" t="str">
        <x:v>r17</x:v>
      </x:c>
      <x:c r="C130" s="48" t="str">
        <x:v>CN-HB</x:v>
      </x:c>
      <x:c r="D130" s="48" t="str">
        <x:v>Hubei</x:v>
      </x:c>
      <x:c r="E130" s="48" t="str">
        <x:v>湖北</x:v>
      </x:c>
      <x:c r="F130" s="48" t="n">
        <x:v>1</x:v>
      </x:c>
      <x:c r="G130" s="48" t="str">
        <x:v>marine_capture</x:v>
      </x:c>
      <x:c r="H130" s="48" t="str">
        <x:v>海洋捕捞</x:v>
      </x:c>
      <x:c r="I130" s="48" t="n">
        <x:v>1</x:v>
      </x:c>
      <x:c r="J130" s="48" t="str">
        <x:v>fresh_sales</x:v>
      </x:c>
      <x:c r="K130" s="48" t="str">
        <x:v>鲜销</x:v>
      </x:c>
      <x:c r="L130" s="55" t="n">
        <x:v>232400.95065892683</x:v>
      </x:c>
      <x:c r="M130" s="54" t="n">
        <x:v>0.0292164458142713</x:v>
      </x:c>
      <x:c r="N130" s="54" t="n">
        <x:v>0.6513480149348244</x:v>
      </x:c>
      <x:c r="O130" s="55" t="n">
        <x:v>374753.23211780586</x:v>
      </x:c>
      <x:c r="P130" s="55" t="n">
        <x:v>624559.3628371947</x:v>
      </x:c>
      <x:c r="Q130" s="55" t="n">
        <x:v>587379.8423416559</x:v>
      </x:c>
      <x:c r="R130" s="54" t="n">
        <x:v>0.65</x:v>
      </x:c>
      <x:c r="S130" s="54" t="n">
        <x:v>0.62</x:v>
      </x:c>
      <x:c r="T130" s="54" t="n">
        <x:v>0.29</x:v>
      </x:c>
      <x:c r="U130" s="54" t="n">
        <x:v>0.28</x:v>
      </x:c>
      <x:c r="V130" s="54" t="n">
        <x:v>1</x:v>
      </x:c>
      <x:c r="W130" s="53" t="str">
        <x:v>calibrated reconstruction; not historical author input</x:v>
      </x:c>
    </x:row>
    <x:row r="131" ht="28" hidden="0" customHeight="1">
      <x:c r="A131" s="48" t="str">
        <x:v>x_r17_s1_m2</x:v>
      </x:c>
      <x:c r="B131" s="48" t="str">
        <x:v>r17</x:v>
      </x:c>
      <x:c r="C131" s="48" t="str">
        <x:v>CN-HB</x:v>
      </x:c>
      <x:c r="D131" s="48" t="str">
        <x:v>Hubei</x:v>
      </x:c>
      <x:c r="E131" s="48" t="str">
        <x:v>湖北</x:v>
      </x:c>
      <x:c r="F131" s="48" t="n">
        <x:v>1</x:v>
      </x:c>
      <x:c r="G131" s="48" t="str">
        <x:v>marine_capture</x:v>
      </x:c>
      <x:c r="H131" s="48" t="str">
        <x:v>海洋捕捞</x:v>
      </x:c>
      <x:c r="I131" s="48" t="n">
        <x:v>2</x:v>
      </x:c>
      <x:c r="J131" s="48" t="str">
        <x:v>deep_processing</x:v>
      </x:c>
      <x:c r="K131" s="48" t="str">
        <x:v>深加工</x:v>
      </x:c>
      <x:c r="L131" s="55" t="n">
        <x:v>104412.02131053235</x:v>
      </x:c>
      <x:c r="M131" s="54" t="n">
        <x:v>0.0292164458142713</x:v>
      </x:c>
      <x:c r="N131" s="54" t="n">
        <x:v>0.6513480149348244</x:v>
      </x:c>
      <x:c r="O131" s="55" t="n">
        <x:v>374753.23211780586</x:v>
      </x:c>
      <x:c r="P131" s="55" t="n">
        <x:v>624559.3628371947</x:v>
      </x:c>
      <x:c r="Q131" s="55" t="n">
        <x:v>587379.8423416559</x:v>
      </x:c>
      <x:c r="R131" s="54" t="n">
        <x:v>0.82</x:v>
      </x:c>
      <x:c r="S131" s="54" t="n">
        <x:v>0.95</x:v>
      </x:c>
      <x:c r="T131" s="54" t="n">
        <x:v>0.36</x:v>
      </x:c>
      <x:c r="U131" s="54" t="n">
        <x:v>0.31</x:v>
      </x:c>
      <x:c r="V131" s="54" t="n">
        <x:v>1</x:v>
      </x:c>
      <x:c r="W131" s="53" t="str">
        <x:v>calibrated reconstruction; not historical author input</x:v>
      </x:c>
    </x:row>
    <x:row r="132" ht="28" hidden="0" customHeight="1">
      <x:c r="A132" s="48" t="str">
        <x:v>x_r17_s2_m1</x:v>
      </x:c>
      <x:c r="B132" s="48" t="str">
        <x:v>r17</x:v>
      </x:c>
      <x:c r="C132" s="48" t="str">
        <x:v>CN-HB</x:v>
      </x:c>
      <x:c r="D132" s="48" t="str">
        <x:v>Hubei</x:v>
      </x:c>
      <x:c r="E132" s="48" t="str">
        <x:v>湖北</x:v>
      </x:c>
      <x:c r="F132" s="48" t="n">
        <x:v>2</x:v>
      </x:c>
      <x:c r="G132" s="48" t="str">
        <x:v>freshwater_capture</x:v>
      </x:c>
      <x:c r="H132" s="48" t="str">
        <x:v>淡水捕捞</x:v>
      </x:c>
      <x:c r="I132" s="48" t="n">
        <x:v>1</x:v>
      </x:c>
      <x:c r="J132" s="48" t="str">
        <x:v>fresh_sales</x:v>
      </x:c>
      <x:c r="K132" s="48" t="str">
        <x:v>鲜销</x:v>
      </x:c>
      <x:c r="L132" s="55" t="n">
        <x:v>84352.93764657344</x:v>
      </x:c>
      <x:c r="M132" s="54" t="n">
        <x:v>0.0292164458142713</x:v>
      </x:c>
      <x:c r="N132" s="54" t="n">
        <x:v>0.6513480149348244</x:v>
      </x:c>
      <x:c r="O132" s="55" t="n">
        <x:v>374753.23211780586</x:v>
      </x:c>
      <x:c r="P132" s="55" t="n">
        <x:v>624559.3628371947</x:v>
      </x:c>
      <x:c r="Q132" s="55" t="n">
        <x:v>587379.8423416559</x:v>
      </x:c>
      <x:c r="R132" s="54" t="n">
        <x:v>0.7</x:v>
      </x:c>
      <x:c r="S132" s="54" t="n">
        <x:v>0.67</x:v>
      </x:c>
      <x:c r="T132" s="54" t="n">
        <x:v>0.26</x:v>
      </x:c>
      <x:c r="U132" s="54" t="n">
        <x:v>0.42</x:v>
      </x:c>
      <x:c r="V132" s="54" t="n">
        <x:v>0.7</x:v>
      </x:c>
      <x:c r="W132" s="53" t="str">
        <x:v>calibrated reconstruction; not historical author input</x:v>
      </x:c>
    </x:row>
    <x:row r="133" ht="28" hidden="0" customHeight="1">
      <x:c r="A133" s="48" t="str">
        <x:v>x_r17_s2_m2</x:v>
      </x:c>
      <x:c r="B133" s="48" t="str">
        <x:v>r17</x:v>
      </x:c>
      <x:c r="C133" s="48" t="str">
        <x:v>CN-HB</x:v>
      </x:c>
      <x:c r="D133" s="48" t="str">
        <x:v>Hubei</x:v>
      </x:c>
      <x:c r="E133" s="48" t="str">
        <x:v>湖北</x:v>
      </x:c>
      <x:c r="F133" s="48" t="n">
        <x:v>2</x:v>
      </x:c>
      <x:c r="G133" s="48" t="str">
        <x:v>freshwater_capture</x:v>
      </x:c>
      <x:c r="H133" s="48" t="str">
        <x:v>淡水捕捞</x:v>
      </x:c>
      <x:c r="I133" s="48" t="n">
        <x:v>2</x:v>
      </x:c>
      <x:c r="J133" s="48" t="str">
        <x:v>deep_processing</x:v>
      </x:c>
      <x:c r="K133" s="48" t="str">
        <x:v>深加工</x:v>
      </x:c>
      <x:c r="L133" s="55" t="n">
        <x:v>37897.696623822856</x:v>
      </x:c>
      <x:c r="M133" s="54" t="n">
        <x:v>0.0292164458142713</x:v>
      </x:c>
      <x:c r="N133" s="54" t="n">
        <x:v>0.6513480149348244</x:v>
      </x:c>
      <x:c r="O133" s="55" t="n">
        <x:v>374753.23211780586</x:v>
      </x:c>
      <x:c r="P133" s="55" t="n">
        <x:v>624559.3628371947</x:v>
      </x:c>
      <x:c r="Q133" s="55" t="n">
        <x:v>587379.8423416559</x:v>
      </x:c>
      <x:c r="R133" s="54" t="n">
        <x:v>0.86</x:v>
      </x:c>
      <x:c r="S133" s="54" t="n">
        <x:v>0.99</x:v>
      </x:c>
      <x:c r="T133" s="54" t="n">
        <x:v>0.34</x:v>
      </x:c>
      <x:c r="U133" s="54" t="n">
        <x:v>0.45</x:v>
      </x:c>
      <x:c r="V133" s="54" t="n">
        <x:v>0.7</x:v>
      </x:c>
      <x:c r="W133" s="53" t="str">
        <x:v>calibrated reconstruction; not historical author input</x:v>
      </x:c>
    </x:row>
    <x:row r="134" ht="28" hidden="0" customHeight="1">
      <x:c r="A134" s="48" t="str">
        <x:v>x_r17_s3_m1</x:v>
      </x:c>
      <x:c r="B134" s="48" t="str">
        <x:v>r17</x:v>
      </x:c>
      <x:c r="C134" s="48" t="str">
        <x:v>CN-HB</x:v>
      </x:c>
      <x:c r="D134" s="48" t="str">
        <x:v>Hubei</x:v>
      </x:c>
      <x:c r="E134" s="48" t="str">
        <x:v>湖北</x:v>
      </x:c>
      <x:c r="F134" s="48" t="n">
        <x:v>3</x:v>
      </x:c>
      <x:c r="G134" s="48" t="str">
        <x:v>marine_aquaculture</x:v>
      </x:c>
      <x:c r="H134" s="48" t="str">
        <x:v>海水养殖</x:v>
      </x:c>
      <x:c r="I134" s="48" t="n">
        <x:v>1</x:v>
      </x:c>
      <x:c r="J134" s="48" t="str">
        <x:v>fresh_sales</x:v>
      </x:c>
      <x:c r="K134" s="48" t="str">
        <x:v>鲜销</x:v>
      </x:c>
      <x:c r="L134" s="55" t="n">
        <x:v>580141.6323856174</x:v>
      </x:c>
      <x:c r="M134" s="54" t="n">
        <x:v>0.0292164458142713</x:v>
      </x:c>
      <x:c r="N134" s="54" t="n">
        <x:v>0.6513480149348244</x:v>
      </x:c>
      <x:c r="O134" s="55" t="n">
        <x:v>374753.23211780586</x:v>
      </x:c>
      <x:c r="P134" s="55" t="n">
        <x:v>624559.3628371947</x:v>
      </x:c>
      <x:c r="Q134" s="55" t="n">
        <x:v>587379.8423416559</x:v>
      </x:c>
      <x:c r="R134" s="54" t="n">
        <x:v>0.84</x:v>
      </x:c>
      <x:c r="S134" s="54" t="n">
        <x:v>0.8</x:v>
      </x:c>
      <x:c r="T134" s="54" t="n">
        <x:v>0.33</x:v>
      </x:c>
      <x:c r="U134" s="54" t="n">
        <x:v>0.78</x:v>
      </x:c>
      <x:c r="V134" s="54" t="n">
        <x:v>0.11</x:v>
      </x:c>
      <x:c r="W134" s="53" t="str">
        <x:v>calibrated reconstruction; not historical author input</x:v>
      </x:c>
    </x:row>
    <x:row r="135" ht="28" hidden="0" customHeight="1">
      <x:c r="A135" s="48" t="str">
        <x:v>x_r17_s3_m2</x:v>
      </x:c>
      <x:c r="B135" s="48" t="str">
        <x:v>r17</x:v>
      </x:c>
      <x:c r="C135" s="48" t="str">
        <x:v>CN-HB</x:v>
      </x:c>
      <x:c r="D135" s="48" t="str">
        <x:v>Hubei</x:v>
      </x:c>
      <x:c r="E135" s="48" t="str">
        <x:v>湖北</x:v>
      </x:c>
      <x:c r="F135" s="48" t="n">
        <x:v>3</x:v>
      </x:c>
      <x:c r="G135" s="48" t="str">
        <x:v>marine_aquaculture</x:v>
      </x:c>
      <x:c r="H135" s="48" t="str">
        <x:v>海水养殖</x:v>
      </x:c>
      <x:c r="I135" s="48" t="n">
        <x:v>2</x:v>
      </x:c>
      <x:c r="J135" s="48" t="str">
        <x:v>deep_processing</x:v>
      </x:c>
      <x:c r="K135" s="48" t="str">
        <x:v>深加工</x:v>
      </x:c>
      <x:c r="L135" s="55" t="n">
        <x:v>260643.3420862919</x:v>
      </x:c>
      <x:c r="M135" s="54" t="n">
        <x:v>0.0292164458142713</x:v>
      </x:c>
      <x:c r="N135" s="54" t="n">
        <x:v>0.6513480149348244</x:v>
      </x:c>
      <x:c r="O135" s="55" t="n">
        <x:v>374753.23211780586</x:v>
      </x:c>
      <x:c r="P135" s="55" t="n">
        <x:v>624559.3628371947</x:v>
      </x:c>
      <x:c r="Q135" s="55" t="n">
        <x:v>587379.8423416559</x:v>
      </x:c>
      <x:c r="R135" s="54" t="n">
        <x:v>1.02</x:v>
      </x:c>
      <x:c r="S135" s="54" t="n">
        <x:v>1.16</x:v>
      </x:c>
      <x:c r="T135" s="54" t="n">
        <x:v>0.41</x:v>
      </x:c>
      <x:c r="U135" s="54" t="n">
        <x:v>0.81</x:v>
      </x:c>
      <x:c r="V135" s="54" t="n">
        <x:v>0.11</x:v>
      </x:c>
      <x:c r="W135" s="53" t="str">
        <x:v>calibrated reconstruction; not historical author input</x:v>
      </x:c>
    </x:row>
    <x:row r="136" ht="28" hidden="0" customHeight="1">
      <x:c r="A136" s="48" t="str">
        <x:v>x_r17_s4_m1</x:v>
      </x:c>
      <x:c r="B136" s="48" t="str">
        <x:v>r17</x:v>
      </x:c>
      <x:c r="C136" s="48" t="str">
        <x:v>CN-HB</x:v>
      </x:c>
      <x:c r="D136" s="48" t="str">
        <x:v>Hubei</x:v>
      </x:c>
      <x:c r="E136" s="48" t="str">
        <x:v>湖北</x:v>
      </x:c>
      <x:c r="F136" s="48" t="n">
        <x:v>4</x:v>
      </x:c>
      <x:c r="G136" s="48" t="str">
        <x:v>freshwater_aquaculture</x:v>
      </x:c>
      <x:c r="H136" s="48" t="str">
        <x:v>淡水养殖</x:v>
      </x:c>
      <x:c r="I136" s="48" t="n">
        <x:v>1</x:v>
      </x:c>
      <x:c r="J136" s="48" t="str">
        <x:v>fresh_sales</x:v>
      </x:c>
      <x:c r="K136" s="48" t="str">
        <x:v>鲜销</x:v>
      </x:c>
      <x:c r="L136" s="55" t="n">
        <x:v>824593.0027083404</x:v>
      </x:c>
      <x:c r="M136" s="54" t="n">
        <x:v>0.0292164458142713</x:v>
      </x:c>
      <x:c r="N136" s="54" t="n">
        <x:v>0.6513480149348244</x:v>
      </x:c>
      <x:c r="O136" s="55" t="n">
        <x:v>374753.23211780586</x:v>
      </x:c>
      <x:c r="P136" s="55" t="n">
        <x:v>624559.3628371947</x:v>
      </x:c>
      <x:c r="Q136" s="55" t="n">
        <x:v>587379.8423416559</x:v>
      </x:c>
      <x:c r="R136" s="54" t="n">
        <x:v>0.88</x:v>
      </x:c>
      <x:c r="S136" s="54" t="n">
        <x:v>0.84</x:v>
      </x:c>
      <x:c r="T136" s="54" t="n">
        <x:v>0.31</x:v>
      </x:c>
      <x:c r="U136" s="54" t="n">
        <x:v>0.88</x:v>
      </x:c>
      <x:c r="V136" s="54" t="n">
        <x:v>0.08</x:v>
      </x:c>
      <x:c r="W136" s="53" t="str">
        <x:v>calibrated reconstruction; not historical author input</x:v>
      </x:c>
    </x:row>
    <x:row r="137" ht="28" hidden="0" customHeight="1">
      <x:c r="A137" s="48" t="str">
        <x:v>x_r17_s4_m2</x:v>
      </x:c>
      <x:c r="B137" s="48" t="str">
        <x:v>r17</x:v>
      </x:c>
      <x:c r="C137" s="48" t="str">
        <x:v>CN-HB</x:v>
      </x:c>
      <x:c r="D137" s="48" t="str">
        <x:v>Hubei</x:v>
      </x:c>
      <x:c r="E137" s="48" t="str">
        <x:v>湖北</x:v>
      </x:c>
      <x:c r="F137" s="48" t="n">
        <x:v>4</x:v>
      </x:c>
      <x:c r="G137" s="48" t="str">
        <x:v>freshwater_aquaculture</x:v>
      </x:c>
      <x:c r="H137" s="48" t="str">
        <x:v>淡水养殖</x:v>
      </x:c>
      <x:c r="I137" s="48" t="n">
        <x:v>2</x:v>
      </x:c>
      <x:c r="J137" s="48" t="str">
        <x:v>deep_processing</x:v>
      </x:c>
      <x:c r="K137" s="48" t="str">
        <x:v>深加工</x:v>
      </x:c>
      <x:c r="L137" s="55" t="n">
        <x:v>370469.32005737035</x:v>
      </x:c>
      <x:c r="M137" s="54" t="n">
        <x:v>0.0292164458142713</x:v>
      </x:c>
      <x:c r="N137" s="54" t="n">
        <x:v>0.6513480149348244</x:v>
      </x:c>
      <x:c r="O137" s="55" t="n">
        <x:v>374753.23211780586</x:v>
      </x:c>
      <x:c r="P137" s="55" t="n">
        <x:v>624559.3628371947</x:v>
      </x:c>
      <x:c r="Q137" s="55" t="n">
        <x:v>587379.8423416559</x:v>
      </x:c>
      <x:c r="R137" s="54" t="n">
        <x:v>1.06</x:v>
      </x:c>
      <x:c r="S137" s="54" t="n">
        <x:v>1.2</x:v>
      </x:c>
      <x:c r="T137" s="54" t="n">
        <x:v>0.39</x:v>
      </x:c>
      <x:c r="U137" s="54" t="n">
        <x:v>0.91</x:v>
      </x:c>
      <x:c r="V137" s="54" t="n">
        <x:v>0.08</x:v>
      </x:c>
      <x:c r="W137" s="53" t="str">
        <x:v>calibrated reconstruction; not historical author input</x:v>
      </x:c>
    </x:row>
    <x:row r="138" ht="28" hidden="0" customHeight="1">
      <x:c r="A138" s="48" t="str">
        <x:v>x_r18_s1_m1</x:v>
      </x:c>
      <x:c r="B138" s="48" t="str">
        <x:v>r18</x:v>
      </x:c>
      <x:c r="C138" s="48" t="str">
        <x:v>CN-HN</x:v>
      </x:c>
      <x:c r="D138" s="48" t="str">
        <x:v>Hunan</x:v>
      </x:c>
      <x:c r="E138" s="48" t="str">
        <x:v>湖南</x:v>
      </x:c>
      <x:c r="F138" s="48" t="n">
        <x:v>1</x:v>
      </x:c>
      <x:c r="G138" s="48" t="str">
        <x:v>marine_capture</x:v>
      </x:c>
      <x:c r="H138" s="48" t="str">
        <x:v>海洋捕捞</x:v>
      </x:c>
      <x:c r="I138" s="48" t="n">
        <x:v>1</x:v>
      </x:c>
      <x:c r="J138" s="48" t="str">
        <x:v>fresh_sales</x:v>
      </x:c>
      <x:c r="K138" s="48" t="str">
        <x:v>鲜销</x:v>
      </x:c>
      <x:c r="L138" s="55" t="n">
        <x:v>249505.76553840877</x:v>
      </x:c>
      <x:c r="M138" s="54" t="n">
        <x:v>0.0313667894151585</x:v>
      </x:c>
      <x:c r="N138" s="54" t="n">
        <x:v>0.5744586464166167</x:v>
      </x:c>
      <x:c r="O138" s="55" t="n">
        <x:v>349300.7598615566</x:v>
      </x:c>
      <x:c r="P138" s="55" t="n">
        <x:v>649656.9427442645</x:v>
      </x:c>
      <x:c r="Q138" s="55" t="n">
        <x:v>592471.4005945753</x:v>
      </x:c>
      <x:c r="R138" s="54" t="n">
        <x:v>0.65</x:v>
      </x:c>
      <x:c r="S138" s="54" t="n">
        <x:v>0.62</x:v>
      </x:c>
      <x:c r="T138" s="54" t="n">
        <x:v>0.29</x:v>
      </x:c>
      <x:c r="U138" s="54" t="n">
        <x:v>0.28</x:v>
      </x:c>
      <x:c r="V138" s="54" t="n">
        <x:v>1</x:v>
      </x:c>
      <x:c r="W138" s="53" t="str">
        <x:v>calibrated reconstruction; not historical author input</x:v>
      </x:c>
    </x:row>
    <x:row r="139" ht="28" hidden="0" customHeight="1">
      <x:c r="A139" s="48" t="str">
        <x:v>x_r18_s1_m2</x:v>
      </x:c>
      <x:c r="B139" s="48" t="str">
        <x:v>r18</x:v>
      </x:c>
      <x:c r="C139" s="48" t="str">
        <x:v>CN-HN</x:v>
      </x:c>
      <x:c r="D139" s="48" t="str">
        <x:v>Hunan</x:v>
      </x:c>
      <x:c r="E139" s="48" t="str">
        <x:v>湖南</x:v>
      </x:c>
      <x:c r="F139" s="48" t="n">
        <x:v>1</x:v>
      </x:c>
      <x:c r="G139" s="48" t="str">
        <x:v>marine_capture</x:v>
      </x:c>
      <x:c r="H139" s="48" t="str">
        <x:v>海洋捕捞</x:v>
      </x:c>
      <x:c r="I139" s="48" t="n">
        <x:v>2</x:v>
      </x:c>
      <x:c r="J139" s="48" t="str">
        <x:v>deep_processing</x:v>
      </x:c>
      <x:c r="K139" s="48" t="str">
        <x:v>深加工</x:v>
      </x:c>
      <x:c r="L139" s="55" t="n">
        <x:v>112096.79321290829</x:v>
      </x:c>
      <x:c r="M139" s="54" t="n">
        <x:v>0.0313667894151585</x:v>
      </x:c>
      <x:c r="N139" s="54" t="n">
        <x:v>0.5744586464166167</x:v>
      </x:c>
      <x:c r="O139" s="55" t="n">
        <x:v>349300.7598615566</x:v>
      </x:c>
      <x:c r="P139" s="55" t="n">
        <x:v>649656.9427442645</x:v>
      </x:c>
      <x:c r="Q139" s="55" t="n">
        <x:v>592471.4005945753</x:v>
      </x:c>
      <x:c r="R139" s="54" t="n">
        <x:v>0.82</x:v>
      </x:c>
      <x:c r="S139" s="54" t="n">
        <x:v>0.95</x:v>
      </x:c>
      <x:c r="T139" s="54" t="n">
        <x:v>0.36</x:v>
      </x:c>
      <x:c r="U139" s="54" t="n">
        <x:v>0.31</x:v>
      </x:c>
      <x:c r="V139" s="54" t="n">
        <x:v>1</x:v>
      </x:c>
      <x:c r="W139" s="53" t="str">
        <x:v>calibrated reconstruction; not historical author input</x:v>
      </x:c>
    </x:row>
    <x:row r="140" ht="28" hidden="0" customHeight="1">
      <x:c r="A140" s="48" t="str">
        <x:v>x_r18_s2_m1</x:v>
      </x:c>
      <x:c r="B140" s="48" t="str">
        <x:v>r18</x:v>
      </x:c>
      <x:c r="C140" s="48" t="str">
        <x:v>CN-HN</x:v>
      </x:c>
      <x:c r="D140" s="48" t="str">
        <x:v>Hunan</x:v>
      </x:c>
      <x:c r="E140" s="48" t="str">
        <x:v>湖南</x:v>
      </x:c>
      <x:c r="F140" s="48" t="n">
        <x:v>2</x:v>
      </x:c>
      <x:c r="G140" s="48" t="str">
        <x:v>freshwater_capture</x:v>
      </x:c>
      <x:c r="H140" s="48" t="str">
        <x:v>淡水捕捞</x:v>
      </x:c>
      <x:c r="I140" s="48" t="n">
        <x:v>1</x:v>
      </x:c>
      <x:c r="J140" s="48" t="str">
        <x:v>fresh_sales</x:v>
      </x:c>
      <x:c r="K140" s="48" t="str">
        <x:v>鲜销</x:v>
      </x:c>
      <x:c r="L140" s="55" t="n">
        <x:v>90561.35193616318</x:v>
      </x:c>
      <x:c r="M140" s="54" t="n">
        <x:v>0.0313667894151585</x:v>
      </x:c>
      <x:c r="N140" s="54" t="n">
        <x:v>0.5744586464166167</x:v>
      </x:c>
      <x:c r="O140" s="55" t="n">
        <x:v>349300.7598615566</x:v>
      </x:c>
      <x:c r="P140" s="55" t="n">
        <x:v>649656.9427442645</x:v>
      </x:c>
      <x:c r="Q140" s="55" t="n">
        <x:v>592471.4005945753</x:v>
      </x:c>
      <x:c r="R140" s="54" t="n">
        <x:v>0.7</x:v>
      </x:c>
      <x:c r="S140" s="54" t="n">
        <x:v>0.67</x:v>
      </x:c>
      <x:c r="T140" s="54" t="n">
        <x:v>0.26</x:v>
      </x:c>
      <x:c r="U140" s="54" t="n">
        <x:v>0.42</x:v>
      </x:c>
      <x:c r="V140" s="54" t="n">
        <x:v>0.7</x:v>
      </x:c>
      <x:c r="W140" s="53" t="str">
        <x:v>calibrated reconstruction; not historical author input</x:v>
      </x:c>
    </x:row>
    <x:row r="141" ht="28" hidden="0" customHeight="1">
      <x:c r="A141" s="48" t="str">
        <x:v>x_r18_s2_m2</x:v>
      </x:c>
      <x:c r="B141" s="48" t="str">
        <x:v>r18</x:v>
      </x:c>
      <x:c r="C141" s="48" t="str">
        <x:v>CN-HN</x:v>
      </x:c>
      <x:c r="D141" s="48" t="str">
        <x:v>Hunan</x:v>
      </x:c>
      <x:c r="E141" s="48" t="str">
        <x:v>湖南</x:v>
      </x:c>
      <x:c r="F141" s="48" t="n">
        <x:v>2</x:v>
      </x:c>
      <x:c r="G141" s="48" t="str">
        <x:v>freshwater_capture</x:v>
      </x:c>
      <x:c r="H141" s="48" t="str">
        <x:v>淡水捕捞</x:v>
      </x:c>
      <x:c r="I141" s="48" t="n">
        <x:v>2</x:v>
      </x:c>
      <x:c r="J141" s="48" t="str">
        <x:v>deep_processing</x:v>
      </x:c>
      <x:c r="K141" s="48" t="str">
        <x:v>深加工</x:v>
      </x:c>
      <x:c r="L141" s="55" t="n">
        <x:v>40686.98420320375</x:v>
      </x:c>
      <x:c r="M141" s="54" t="n">
        <x:v>0.0313667894151585</x:v>
      </x:c>
      <x:c r="N141" s="54" t="n">
        <x:v>0.5744586464166167</x:v>
      </x:c>
      <x:c r="O141" s="55" t="n">
        <x:v>349300.7598615566</x:v>
      </x:c>
      <x:c r="P141" s="55" t="n">
        <x:v>649656.9427442645</x:v>
      </x:c>
      <x:c r="Q141" s="55" t="n">
        <x:v>592471.4005945753</x:v>
      </x:c>
      <x:c r="R141" s="54" t="n">
        <x:v>0.86</x:v>
      </x:c>
      <x:c r="S141" s="54" t="n">
        <x:v>0.99</x:v>
      </x:c>
      <x:c r="T141" s="54" t="n">
        <x:v>0.34</x:v>
      </x:c>
      <x:c r="U141" s="54" t="n">
        <x:v>0.45</x:v>
      </x:c>
      <x:c r="V141" s="54" t="n">
        <x:v>0.7</x:v>
      </x:c>
      <x:c r="W141" s="53" t="str">
        <x:v>calibrated reconstruction; not historical author input</x:v>
      </x:c>
    </x:row>
    <x:row r="142" ht="28" hidden="0" customHeight="1">
      <x:c r="A142" s="48" t="str">
        <x:v>x_r18_s3_m1</x:v>
      </x:c>
      <x:c r="B142" s="48" t="str">
        <x:v>r18</x:v>
      </x:c>
      <x:c r="C142" s="48" t="str">
        <x:v>CN-HN</x:v>
      </x:c>
      <x:c r="D142" s="48" t="str">
        <x:v>Hunan</x:v>
      </x:c>
      <x:c r="E142" s="48" t="str">
        <x:v>湖南</x:v>
      </x:c>
      <x:c r="F142" s="48" t="n">
        <x:v>3</x:v>
      </x:c>
      <x:c r="G142" s="48" t="str">
        <x:v>marine_aquaculture</x:v>
      </x:c>
      <x:c r="H142" s="48" t="str">
        <x:v>海水养殖</x:v>
      </x:c>
      <x:c r="I142" s="48" t="n">
        <x:v>1</x:v>
      </x:c>
      <x:c r="J142" s="48" t="str">
        <x:v>fresh_sales</x:v>
      </x:c>
      <x:c r="K142" s="48" t="str">
        <x:v>鲜销</x:v>
      </x:c>
      <x:c r="L142" s="55" t="n">
        <x:v>622840.3184181019</x:v>
      </x:c>
      <x:c r="M142" s="54" t="n">
        <x:v>0.0313667894151585</x:v>
      </x:c>
      <x:c r="N142" s="54" t="n">
        <x:v>0.5744586464166167</x:v>
      </x:c>
      <x:c r="O142" s="55" t="n">
        <x:v>349300.7598615566</x:v>
      </x:c>
      <x:c r="P142" s="55" t="n">
        <x:v>649656.9427442645</x:v>
      </x:c>
      <x:c r="Q142" s="55" t="n">
        <x:v>592471.4005945753</x:v>
      </x:c>
      <x:c r="R142" s="54" t="n">
        <x:v>0.84</x:v>
      </x:c>
      <x:c r="S142" s="54" t="n">
        <x:v>0.8</x:v>
      </x:c>
      <x:c r="T142" s="54" t="n">
        <x:v>0.33</x:v>
      </x:c>
      <x:c r="U142" s="54" t="n">
        <x:v>0.78</x:v>
      </x:c>
      <x:c r="V142" s="54" t="n">
        <x:v>0.11</x:v>
      </x:c>
      <x:c r="W142" s="53" t="str">
        <x:v>calibrated reconstruction; not historical author input</x:v>
      </x:c>
    </x:row>
    <x:row r="143" ht="28" hidden="0" customHeight="1">
      <x:c r="A143" s="48" t="str">
        <x:v>x_r18_s3_m2</x:v>
      </x:c>
      <x:c r="B143" s="48" t="str">
        <x:v>r18</x:v>
      </x:c>
      <x:c r="C143" s="48" t="str">
        <x:v>CN-HN</x:v>
      </x:c>
      <x:c r="D143" s="48" t="str">
        <x:v>Hunan</x:v>
      </x:c>
      <x:c r="E143" s="48" t="str">
        <x:v>湖南</x:v>
      </x:c>
      <x:c r="F143" s="48" t="n">
        <x:v>3</x:v>
      </x:c>
      <x:c r="G143" s="48" t="str">
        <x:v>marine_aquaculture</x:v>
      </x:c>
      <x:c r="H143" s="48" t="str">
        <x:v>海水养殖</x:v>
      </x:c>
      <x:c r="I143" s="48" t="n">
        <x:v>2</x:v>
      </x:c>
      <x:c r="J143" s="48" t="str">
        <x:v>deep_processing</x:v>
      </x:c>
      <x:c r="K143" s="48" t="str">
        <x:v>深加工</x:v>
      </x:c>
      <x:c r="L143" s="55" t="n">
        <x:v>279826.8097240748</x:v>
      </x:c>
      <x:c r="M143" s="54" t="n">
        <x:v>0.0313667894151585</x:v>
      </x:c>
      <x:c r="N143" s="54" t="n">
        <x:v>0.5744586464166167</x:v>
      </x:c>
      <x:c r="O143" s="55" t="n">
        <x:v>349300.7598615566</x:v>
      </x:c>
      <x:c r="P143" s="55" t="n">
        <x:v>649656.9427442645</x:v>
      </x:c>
      <x:c r="Q143" s="55" t="n">
        <x:v>592471.4005945753</x:v>
      </x:c>
      <x:c r="R143" s="54" t="n">
        <x:v>1.02</x:v>
      </x:c>
      <x:c r="S143" s="54" t="n">
        <x:v>1.16</x:v>
      </x:c>
      <x:c r="T143" s="54" t="n">
        <x:v>0.41</x:v>
      </x:c>
      <x:c r="U143" s="54" t="n">
        <x:v>0.81</x:v>
      </x:c>
      <x:c r="V143" s="54" t="n">
        <x:v>0.11</x:v>
      </x:c>
      <x:c r="W143" s="53" t="str">
        <x:v>calibrated reconstruction; not historical author input</x:v>
      </x:c>
    </x:row>
    <x:row r="144" ht="28" hidden="0" customHeight="1">
      <x:c r="A144" s="48" t="str">
        <x:v>x_r18_s4_m1</x:v>
      </x:c>
      <x:c r="B144" s="48" t="str">
        <x:v>r18</x:v>
      </x:c>
      <x:c r="C144" s="48" t="str">
        <x:v>CN-HN</x:v>
      </x:c>
      <x:c r="D144" s="48" t="str">
        <x:v>Hunan</x:v>
      </x:c>
      <x:c r="E144" s="48" t="str">
        <x:v>湖南</x:v>
      </x:c>
      <x:c r="F144" s="48" t="n">
        <x:v>4</x:v>
      </x:c>
      <x:c r="G144" s="48" t="str">
        <x:v>freshwater_aquaculture</x:v>
      </x:c>
      <x:c r="H144" s="48" t="str">
        <x:v>淡水养殖</x:v>
      </x:c>
      <x:c r="I144" s="48" t="n">
        <x:v>1</x:v>
      </x:c>
      <x:c r="J144" s="48" t="str">
        <x:v>fresh_sales</x:v>
      </x:c>
      <x:c r="K144" s="48" t="str">
        <x:v>鲜销</x:v>
      </x:c>
      <x:c r="L144" s="55" t="n">
        <x:v>885283.419947391</x:v>
      </x:c>
      <x:c r="M144" s="54" t="n">
        <x:v>0.0313667894151585</x:v>
      </x:c>
      <x:c r="N144" s="54" t="n">
        <x:v>0.5744586464166167</x:v>
      </x:c>
      <x:c r="O144" s="55" t="n">
        <x:v>349300.7598615566</x:v>
      </x:c>
      <x:c r="P144" s="55" t="n">
        <x:v>649656.9427442645</x:v>
      </x:c>
      <x:c r="Q144" s="55" t="n">
        <x:v>592471.4005945753</x:v>
      </x:c>
      <x:c r="R144" s="54" t="n">
        <x:v>0.88</x:v>
      </x:c>
      <x:c r="S144" s="54" t="n">
        <x:v>0.84</x:v>
      </x:c>
      <x:c r="T144" s="54" t="n">
        <x:v>0.31</x:v>
      </x:c>
      <x:c r="U144" s="54" t="n">
        <x:v>0.88</x:v>
      </x:c>
      <x:c r="V144" s="54" t="n">
        <x:v>0.08</x:v>
      </x:c>
      <x:c r="W144" s="53" t="str">
        <x:v>calibrated reconstruction; not historical author input</x:v>
      </x:c>
    </x:row>
    <x:row r="145" ht="28" hidden="0" customHeight="1">
      <x:c r="A145" s="48" t="str">
        <x:v>x_r18_s4_m2</x:v>
      </x:c>
      <x:c r="B145" s="48" t="str">
        <x:v>r18</x:v>
      </x:c>
      <x:c r="C145" s="48" t="str">
        <x:v>CN-HN</x:v>
      </x:c>
      <x:c r="D145" s="48" t="str">
        <x:v>Hunan</x:v>
      </x:c>
      <x:c r="E145" s="48" t="str">
        <x:v>湖南</x:v>
      </x:c>
      <x:c r="F145" s="48" t="n">
        <x:v>4</x:v>
      </x:c>
      <x:c r="G145" s="48" t="str">
        <x:v>freshwater_aquaculture</x:v>
      </x:c>
      <x:c r="H145" s="48" t="str">
        <x:v>淡水养殖</x:v>
      </x:c>
      <x:c r="I145" s="48" t="n">
        <x:v>2</x:v>
      </x:c>
      <x:c r="J145" s="48" t="str">
        <x:v>deep_processing</x:v>
      </x:c>
      <x:c r="K145" s="48" t="str">
        <x:v>深加工</x:v>
      </x:c>
      <x:c r="L145" s="55" t="n">
        <x:v>397736.0292517264</x:v>
      </x:c>
      <x:c r="M145" s="54" t="n">
        <x:v>0.0313667894151585</x:v>
      </x:c>
      <x:c r="N145" s="54" t="n">
        <x:v>0.5744586464166167</x:v>
      </x:c>
      <x:c r="O145" s="55" t="n">
        <x:v>349300.7598615566</x:v>
      </x:c>
      <x:c r="P145" s="55" t="n">
        <x:v>649656.9427442645</x:v>
      </x:c>
      <x:c r="Q145" s="55" t="n">
        <x:v>592471.4005945753</x:v>
      </x:c>
      <x:c r="R145" s="54" t="n">
        <x:v>1.06</x:v>
      </x:c>
      <x:c r="S145" s="54" t="n">
        <x:v>1.2</x:v>
      </x:c>
      <x:c r="T145" s="54" t="n">
        <x:v>0.39</x:v>
      </x:c>
      <x:c r="U145" s="54" t="n">
        <x:v>0.91</x:v>
      </x:c>
      <x:c r="V145" s="54" t="n">
        <x:v>0.08</x:v>
      </x:c>
      <x:c r="W145" s="53" t="str">
        <x:v>calibrated reconstruction; not historical author input</x:v>
      </x:c>
    </x:row>
    <x:row r="146" ht="28" hidden="0" customHeight="1">
      <x:c r="A146" s="48" t="str">
        <x:v>x_r19_s1_m1</x:v>
      </x:c>
      <x:c r="B146" s="48" t="str">
        <x:v>r19</x:v>
      </x:c>
      <x:c r="C146" s="48" t="str">
        <x:v>CN-GD</x:v>
      </x:c>
      <x:c r="D146" s="48" t="str">
        <x:v>Guangdong</x:v>
      </x:c>
      <x:c r="E146" s="48" t="str">
        <x:v>广东</x:v>
      </x:c>
      <x:c r="F146" s="48" t="n">
        <x:v>1</x:v>
      </x:c>
      <x:c r="G146" s="48" t="str">
        <x:v>marine_capture</x:v>
      </x:c>
      <x:c r="H146" s="48" t="str">
        <x:v>海洋捕捞</x:v>
      </x:c>
      <x:c r="I146" s="48" t="n">
        <x:v>1</x:v>
      </x:c>
      <x:c r="J146" s="48" t="str">
        <x:v>fresh_sales</x:v>
      </x:c>
      <x:c r="K146" s="48" t="str">
        <x:v>鲜销</x:v>
      </x:c>
      <x:c r="L146" s="55" t="n">
        <x:v>230057.4525622462</x:v>
      </x:c>
      <x:c r="M146" s="54" t="n">
        <x:v>0.02892183133458269</x:v>
      </x:c>
      <x:c r="N146" s="54" t="n">
        <x:v>0.6318033931043041</x:v>
      </x:c>
      <x:c r="O146" s="55" t="n">
        <x:v>334713.8281726302</x:v>
      </x:c>
      <x:c r="P146" s="55" t="n">
        <x:v>579774.4174877863</x:v>
      </x:c>
      <x:c r="Q146" s="55" t="n">
        <x:v>529174.2977163928</x:v>
      </x:c>
      <x:c r="R146" s="54" t="n">
        <x:v>0.65</x:v>
      </x:c>
      <x:c r="S146" s="54" t="n">
        <x:v>0.62</x:v>
      </x:c>
      <x:c r="T146" s="54" t="n">
        <x:v>0.29</x:v>
      </x:c>
      <x:c r="U146" s="54" t="n">
        <x:v>0.28</x:v>
      </x:c>
      <x:c r="V146" s="54" t="n">
        <x:v>1</x:v>
      </x:c>
      <x:c r="W146" s="53" t="str">
        <x:v>calibrated reconstruction; not historical author input</x:v>
      </x:c>
    </x:row>
    <x:row r="147" ht="28" hidden="0" customHeight="1">
      <x:c r="A147" s="48" t="str">
        <x:v>x_r19_s1_m2</x:v>
      </x:c>
      <x:c r="B147" s="48" t="str">
        <x:v>r19</x:v>
      </x:c>
      <x:c r="C147" s="48" t="str">
        <x:v>CN-GD</x:v>
      </x:c>
      <x:c r="D147" s="48" t="str">
        <x:v>Guangdong</x:v>
      </x:c>
      <x:c r="E147" s="48" t="str">
        <x:v>广东</x:v>
      </x:c>
      <x:c r="F147" s="48" t="n">
        <x:v>1</x:v>
      </x:c>
      <x:c r="G147" s="48" t="str">
        <x:v>marine_capture</x:v>
      </x:c>
      <x:c r="H147" s="48" t="str">
        <x:v>海洋捕捞</x:v>
      </x:c>
      <x:c r="I147" s="48" t="n">
        <x:v>2</x:v>
      </x:c>
      <x:c r="J147" s="48" t="str">
        <x:v>deep_processing</x:v>
      </x:c>
      <x:c r="K147" s="48" t="str">
        <x:v>深加工</x:v>
      </x:c>
      <x:c r="L147" s="55" t="n">
        <x:v>103359.14535405266</x:v>
      </x:c>
      <x:c r="M147" s="54" t="n">
        <x:v>0.02892183133458269</x:v>
      </x:c>
      <x:c r="N147" s="54" t="n">
        <x:v>0.6318033931043041</x:v>
      </x:c>
      <x:c r="O147" s="55" t="n">
        <x:v>334713.8281726302</x:v>
      </x:c>
      <x:c r="P147" s="55" t="n">
        <x:v>579774.4174877863</x:v>
      </x:c>
      <x:c r="Q147" s="55" t="n">
        <x:v>529174.2977163928</x:v>
      </x:c>
      <x:c r="R147" s="54" t="n">
        <x:v>0.82</x:v>
      </x:c>
      <x:c r="S147" s="54" t="n">
        <x:v>0.95</x:v>
      </x:c>
      <x:c r="T147" s="54" t="n">
        <x:v>0.36</x:v>
      </x:c>
      <x:c r="U147" s="54" t="n">
        <x:v>0.31</x:v>
      </x:c>
      <x:c r="V147" s="54" t="n">
        <x:v>1</x:v>
      </x:c>
      <x:c r="W147" s="53" t="str">
        <x:v>calibrated reconstruction; not historical author input</x:v>
      </x:c>
    </x:row>
    <x:row r="148" ht="28" hidden="0" customHeight="1">
      <x:c r="A148" s="48" t="str">
        <x:v>x_r19_s2_m1</x:v>
      </x:c>
      <x:c r="B148" s="48" t="str">
        <x:v>r19</x:v>
      </x:c>
      <x:c r="C148" s="48" t="str">
        <x:v>CN-GD</x:v>
      </x:c>
      <x:c r="D148" s="48" t="str">
        <x:v>Guangdong</x:v>
      </x:c>
      <x:c r="E148" s="48" t="str">
        <x:v>广东</x:v>
      </x:c>
      <x:c r="F148" s="48" t="n">
        <x:v>2</x:v>
      </x:c>
      <x:c r="G148" s="48" t="str">
        <x:v>freshwater_capture</x:v>
      </x:c>
      <x:c r="H148" s="48" t="str">
        <x:v>淡水捕捞</x:v>
      </x:c>
      <x:c r="I148" s="48" t="n">
        <x:v>1</x:v>
      </x:c>
      <x:c r="J148" s="48" t="str">
        <x:v>fresh_sales</x:v>
      </x:c>
      <x:c r="K148" s="48" t="str">
        <x:v>鲜销</x:v>
      </x:c>
      <x:c r="L148" s="55" t="n">
        <x:v>83502.33463370419</x:v>
      </x:c>
      <x:c r="M148" s="54" t="n">
        <x:v>0.02892183133458269</x:v>
      </x:c>
      <x:c r="N148" s="54" t="n">
        <x:v>0.6318033931043041</x:v>
      </x:c>
      <x:c r="O148" s="55" t="n">
        <x:v>334713.8281726302</x:v>
      </x:c>
      <x:c r="P148" s="55" t="n">
        <x:v>579774.4174877863</x:v>
      </x:c>
      <x:c r="Q148" s="55" t="n">
        <x:v>529174.2977163928</x:v>
      </x:c>
      <x:c r="R148" s="54" t="n">
        <x:v>0.7</x:v>
      </x:c>
      <x:c r="S148" s="54" t="n">
        <x:v>0.67</x:v>
      </x:c>
      <x:c r="T148" s="54" t="n">
        <x:v>0.26</x:v>
      </x:c>
      <x:c r="U148" s="54" t="n">
        <x:v>0.42</x:v>
      </x:c>
      <x:c r="V148" s="54" t="n">
        <x:v>0.7</x:v>
      </x:c>
      <x:c r="W148" s="53" t="str">
        <x:v>calibrated reconstruction; not historical author input</x:v>
      </x:c>
    </x:row>
    <x:row r="149" ht="28" hidden="0" customHeight="1">
      <x:c r="A149" s="48" t="str">
        <x:v>x_r19_s2_m2</x:v>
      </x:c>
      <x:c r="B149" s="48" t="str">
        <x:v>r19</x:v>
      </x:c>
      <x:c r="C149" s="48" t="str">
        <x:v>CN-GD</x:v>
      </x:c>
      <x:c r="D149" s="48" t="str">
        <x:v>Guangdong</x:v>
      </x:c>
      <x:c r="E149" s="48" t="str">
        <x:v>广东</x:v>
      </x:c>
      <x:c r="F149" s="48" t="n">
        <x:v>2</x:v>
      </x:c>
      <x:c r="G149" s="48" t="str">
        <x:v>freshwater_capture</x:v>
      </x:c>
      <x:c r="H149" s="48" t="str">
        <x:v>淡水捕捞</x:v>
      </x:c>
      <x:c r="I149" s="48" t="n">
        <x:v>2</x:v>
      </x:c>
      <x:c r="J149" s="48" t="str">
        <x:v>deep_processing</x:v>
      </x:c>
      <x:c r="K149" s="48" t="str">
        <x:v>深加工</x:v>
      </x:c>
      <x:c r="L149" s="55" t="n">
        <x:v>37515.54164702652</x:v>
      </x:c>
      <x:c r="M149" s="54" t="n">
        <x:v>0.02892183133458269</x:v>
      </x:c>
      <x:c r="N149" s="54" t="n">
        <x:v>0.6318033931043041</x:v>
      </x:c>
      <x:c r="O149" s="55" t="n">
        <x:v>334713.8281726302</x:v>
      </x:c>
      <x:c r="P149" s="55" t="n">
        <x:v>579774.4174877863</x:v>
      </x:c>
      <x:c r="Q149" s="55" t="n">
        <x:v>529174.2977163928</x:v>
      </x:c>
      <x:c r="R149" s="54" t="n">
        <x:v>0.86</x:v>
      </x:c>
      <x:c r="S149" s="54" t="n">
        <x:v>0.99</x:v>
      </x:c>
      <x:c r="T149" s="54" t="n">
        <x:v>0.34</x:v>
      </x:c>
      <x:c r="U149" s="54" t="n">
        <x:v>0.45</x:v>
      </x:c>
      <x:c r="V149" s="54" t="n">
        <x:v>0.7</x:v>
      </x:c>
      <x:c r="W149" s="53" t="str">
        <x:v>calibrated reconstruction; not historical author input</x:v>
      </x:c>
    </x:row>
    <x:row r="150" ht="28" hidden="0" customHeight="1">
      <x:c r="A150" s="48" t="str">
        <x:v>x_r19_s3_m1</x:v>
      </x:c>
      <x:c r="B150" s="48" t="str">
        <x:v>r19</x:v>
      </x:c>
      <x:c r="C150" s="48" t="str">
        <x:v>CN-GD</x:v>
      </x:c>
      <x:c r="D150" s="48" t="str">
        <x:v>Guangdong</x:v>
      </x:c>
      <x:c r="E150" s="48" t="str">
        <x:v>广东</x:v>
      </x:c>
      <x:c r="F150" s="48" t="n">
        <x:v>3</x:v>
      </x:c>
      <x:c r="G150" s="48" t="str">
        <x:v>marine_aquaculture</x:v>
      </x:c>
      <x:c r="H150" s="48" t="str">
        <x:v>海水养殖</x:v>
      </x:c>
      <x:c r="I150" s="48" t="n">
        <x:v>1</x:v>
      </x:c>
      <x:c r="J150" s="48" t="str">
        <x:v>fresh_sales</x:v>
      </x:c>
      <x:c r="K150" s="48" t="str">
        <x:v>鲜销</x:v>
      </x:c>
      <x:c r="L150" s="55" t="n">
        <x:v>574291.566766496</x:v>
      </x:c>
      <x:c r="M150" s="54" t="n">
        <x:v>0.02892183133458269</x:v>
      </x:c>
      <x:c r="N150" s="54" t="n">
        <x:v>0.6318033931043041</x:v>
      </x:c>
      <x:c r="O150" s="55" t="n">
        <x:v>334713.8281726302</x:v>
      </x:c>
      <x:c r="P150" s="55" t="n">
        <x:v>579774.4174877863</x:v>
      </x:c>
      <x:c r="Q150" s="55" t="n">
        <x:v>529174.2977163928</x:v>
      </x:c>
      <x:c r="R150" s="54" t="n">
        <x:v>0.84</x:v>
      </x:c>
      <x:c r="S150" s="54" t="n">
        <x:v>0.8</x:v>
      </x:c>
      <x:c r="T150" s="54" t="n">
        <x:v>0.33</x:v>
      </x:c>
      <x:c r="U150" s="54" t="n">
        <x:v>0.78</x:v>
      </x:c>
      <x:c r="V150" s="54" t="n">
        <x:v>0.11</x:v>
      </x:c>
      <x:c r="W150" s="53" t="str">
        <x:v>calibrated reconstruction; not historical author input</x:v>
      </x:c>
    </x:row>
    <x:row r="151" ht="28" hidden="0" customHeight="1">
      <x:c r="A151" s="48" t="str">
        <x:v>x_r19_s3_m2</x:v>
      </x:c>
      <x:c r="B151" s="48" t="str">
        <x:v>r19</x:v>
      </x:c>
      <x:c r="C151" s="48" t="str">
        <x:v>CN-GD</x:v>
      </x:c>
      <x:c r="D151" s="48" t="str">
        <x:v>Guangdong</x:v>
      </x:c>
      <x:c r="E151" s="48" t="str">
        <x:v>广东</x:v>
      </x:c>
      <x:c r="F151" s="48" t="n">
        <x:v>3</x:v>
      </x:c>
      <x:c r="G151" s="48" t="str">
        <x:v>marine_aquaculture</x:v>
      </x:c>
      <x:c r="H151" s="48" t="str">
        <x:v>海水养殖</x:v>
      </x:c>
      <x:c r="I151" s="48" t="n">
        <x:v>2</x:v>
      </x:c>
      <x:c r="J151" s="48" t="str">
        <x:v>deep_processing</x:v>
      </x:c>
      <x:c r="K151" s="48" t="str">
        <x:v>深加工</x:v>
      </x:c>
      <x:c r="L151" s="55" t="n">
        <x:v>258015.05173567217</x:v>
      </x:c>
      <x:c r="M151" s="54" t="n">
        <x:v>0.02892183133458269</x:v>
      </x:c>
      <x:c r="N151" s="54" t="n">
        <x:v>0.6318033931043041</x:v>
      </x:c>
      <x:c r="O151" s="55" t="n">
        <x:v>334713.8281726302</x:v>
      </x:c>
      <x:c r="P151" s="55" t="n">
        <x:v>579774.4174877863</x:v>
      </x:c>
      <x:c r="Q151" s="55" t="n">
        <x:v>529174.2977163928</x:v>
      </x:c>
      <x:c r="R151" s="54" t="n">
        <x:v>1.02</x:v>
      </x:c>
      <x:c r="S151" s="54" t="n">
        <x:v>1.16</x:v>
      </x:c>
      <x:c r="T151" s="54" t="n">
        <x:v>0.41</x:v>
      </x:c>
      <x:c r="U151" s="54" t="n">
        <x:v>0.81</x:v>
      </x:c>
      <x:c r="V151" s="54" t="n">
        <x:v>0.11</x:v>
      </x:c>
      <x:c r="W151" s="53" t="str">
        <x:v>calibrated reconstruction; not historical author input</x:v>
      </x:c>
    </x:row>
    <x:row r="152" ht="28" hidden="0" customHeight="1">
      <x:c r="A152" s="48" t="str">
        <x:v>x_r19_s4_m1</x:v>
      </x:c>
      <x:c r="B152" s="48" t="str">
        <x:v>r19</x:v>
      </x:c>
      <x:c r="C152" s="48" t="str">
        <x:v>CN-GD</x:v>
      </x:c>
      <x:c r="D152" s="48" t="str">
        <x:v>Guangdong</x:v>
      </x:c>
      <x:c r="E152" s="48" t="str">
        <x:v>广东</x:v>
      </x:c>
      <x:c r="F152" s="48" t="n">
        <x:v>4</x:v>
      </x:c>
      <x:c r="G152" s="48" t="str">
        <x:v>freshwater_aquaculture</x:v>
      </x:c>
      <x:c r="H152" s="48" t="str">
        <x:v>淡水养殖</x:v>
      </x:c>
      <x:c r="I152" s="48" t="n">
        <x:v>1</x:v>
      </x:c>
      <x:c r="J152" s="48" t="str">
        <x:v>fresh_sales</x:v>
      </x:c>
      <x:c r="K152" s="48" t="str">
        <x:v>鲜销</x:v>
      </x:c>
      <x:c r="L152" s="55" t="n">
        <x:v>816277.9242764143</x:v>
      </x:c>
      <x:c r="M152" s="54" t="n">
        <x:v>0.02892183133458269</x:v>
      </x:c>
      <x:c r="N152" s="54" t="n">
        <x:v>0.6318033931043041</x:v>
      </x:c>
      <x:c r="O152" s="55" t="n">
        <x:v>334713.8281726302</x:v>
      </x:c>
      <x:c r="P152" s="55" t="n">
        <x:v>579774.4174877863</x:v>
      </x:c>
      <x:c r="Q152" s="55" t="n">
        <x:v>529174.2977163928</x:v>
      </x:c>
      <x:c r="R152" s="54" t="n">
        <x:v>0.88</x:v>
      </x:c>
      <x:c r="S152" s="54" t="n">
        <x:v>0.84</x:v>
      </x:c>
      <x:c r="T152" s="54" t="n">
        <x:v>0.31</x:v>
      </x:c>
      <x:c r="U152" s="54" t="n">
        <x:v>0.88</x:v>
      </x:c>
      <x:c r="V152" s="54" t="n">
        <x:v>0.08</x:v>
      </x:c>
      <x:c r="W152" s="53" t="str">
        <x:v>calibrated reconstruction; not historical author input</x:v>
      </x:c>
    </x:row>
    <x:row r="153" ht="28" hidden="0" customHeight="1">
      <x:c r="A153" s="48" t="str">
        <x:v>x_r19_s4_m2</x:v>
      </x:c>
      <x:c r="B153" s="48" t="str">
        <x:v>r19</x:v>
      </x:c>
      <x:c r="C153" s="48" t="str">
        <x:v>CN-GD</x:v>
      </x:c>
      <x:c r="D153" s="48" t="str">
        <x:v>Guangdong</x:v>
      </x:c>
      <x:c r="E153" s="48" t="str">
        <x:v>广东</x:v>
      </x:c>
      <x:c r="F153" s="48" t="n">
        <x:v>4</x:v>
      </x:c>
      <x:c r="G153" s="48" t="str">
        <x:v>freshwater_aquaculture</x:v>
      </x:c>
      <x:c r="H153" s="48" t="str">
        <x:v>淡水养殖</x:v>
      </x:c>
      <x:c r="I153" s="48" t="n">
        <x:v>2</x:v>
      </x:c>
      <x:c r="J153" s="48" t="str">
        <x:v>deep_processing</x:v>
      </x:c>
      <x:c r="K153" s="48" t="str">
        <x:v>深加工</x:v>
      </x:c>
      <x:c r="L153" s="55" t="n">
        <x:v>366733.56018215715</x:v>
      </x:c>
      <x:c r="M153" s="54" t="n">
        <x:v>0.02892183133458269</x:v>
      </x:c>
      <x:c r="N153" s="54" t="n">
        <x:v>0.6318033931043041</x:v>
      </x:c>
      <x:c r="O153" s="55" t="n">
        <x:v>334713.8281726302</x:v>
      </x:c>
      <x:c r="P153" s="55" t="n">
        <x:v>579774.4174877863</x:v>
      </x:c>
      <x:c r="Q153" s="55" t="n">
        <x:v>529174.2977163928</x:v>
      </x:c>
      <x:c r="R153" s="54" t="n">
        <x:v>1.06</x:v>
      </x:c>
      <x:c r="S153" s="54" t="n">
        <x:v>1.2</x:v>
      </x:c>
      <x:c r="T153" s="54" t="n">
        <x:v>0.39</x:v>
      </x:c>
      <x:c r="U153" s="54" t="n">
        <x:v>0.91</x:v>
      </x:c>
      <x:c r="V153" s="54" t="n">
        <x:v>0.08</x:v>
      </x:c>
      <x:c r="W153" s="53" t="str">
        <x:v>calibrated reconstruction; not historical author input</x:v>
      </x:c>
    </x:row>
    <x:row r="154" ht="28" hidden="0" customHeight="1">
      <x:c r="A154" s="48" t="str">
        <x:v>x_r20_s1_m1</x:v>
      </x:c>
      <x:c r="B154" s="48" t="str">
        <x:v>r20</x:v>
      </x:c>
      <x:c r="C154" s="48" t="str">
        <x:v>CN-GX</x:v>
      </x:c>
      <x:c r="D154" s="48" t="str">
        <x:v>Guangxi</x:v>
      </x:c>
      <x:c r="E154" s="48" t="str">
        <x:v>广西</x:v>
      </x:c>
      <x:c r="F154" s="48" t="n">
        <x:v>1</x:v>
      </x:c>
      <x:c r="G154" s="48" t="str">
        <x:v>marine_capture</x:v>
      </x:c>
      <x:c r="H154" s="48" t="str">
        <x:v>海洋捕捞</x:v>
      </x:c>
      <x:c r="I154" s="48" t="n">
        <x:v>1</x:v>
      </x:c>
      <x:c r="J154" s="48" t="str">
        <x:v>fresh_sales</x:v>
      </x:c>
      <x:c r="K154" s="48" t="str">
        <x:v>鲜销</x:v>
      </x:c>
      <x:c r="L154" s="55" t="n">
        <x:v>203621.0438976137</x:v>
      </x:c>
      <x:c r="M154" s="54" t="n">
        <x:v>0.025598359984382774</x:v>
      </x:c>
      <x:c r="N154" s="54" t="n">
        <x:v>0.5791818231110601</x:v>
      </x:c>
      <x:c r="O154" s="55" t="n">
        <x:v>271424.14281422785</x:v>
      </x:c>
      <x:c r="P154" s="55" t="n">
        <x:v>496119.0848587859</x:v>
      </x:c>
      <x:c r="Q154" s="55" t="n">
        <x:v>510019.9975933949</x:v>
      </x:c>
      <x:c r="R154" s="54" t="n">
        <x:v>0.65</x:v>
      </x:c>
      <x:c r="S154" s="54" t="n">
        <x:v>0.62</x:v>
      </x:c>
      <x:c r="T154" s="54" t="n">
        <x:v>0.29</x:v>
      </x:c>
      <x:c r="U154" s="54" t="n">
        <x:v>0.28</x:v>
      </x:c>
      <x:c r="V154" s="54" t="n">
        <x:v>1</x:v>
      </x:c>
      <x:c r="W154" s="53" t="str">
        <x:v>calibrated reconstruction; not historical author input</x:v>
      </x:c>
    </x:row>
    <x:row r="155" ht="28" hidden="0" customHeight="1">
      <x:c r="A155" s="48" t="str">
        <x:v>x_r20_s1_m2</x:v>
      </x:c>
      <x:c r="B155" s="48" t="str">
        <x:v>r20</x:v>
      </x:c>
      <x:c r="C155" s="48" t="str">
        <x:v>CN-GX</x:v>
      </x:c>
      <x:c r="D155" s="48" t="str">
        <x:v>Guangxi</x:v>
      </x:c>
      <x:c r="E155" s="48" t="str">
        <x:v>广西</x:v>
      </x:c>
      <x:c r="F155" s="48" t="n">
        <x:v>1</x:v>
      </x:c>
      <x:c r="G155" s="48" t="str">
        <x:v>marine_capture</x:v>
      </x:c>
      <x:c r="H155" s="48" t="str">
        <x:v>海洋捕捞</x:v>
      </x:c>
      <x:c r="I155" s="48" t="n">
        <x:v>2</x:v>
      </x:c>
      <x:c r="J155" s="48" t="str">
        <x:v>deep_processing</x:v>
      </x:c>
      <x:c r="K155" s="48" t="str">
        <x:v>深加工</x:v>
      </x:c>
      <x:c r="L155" s="55" t="n">
        <x:v>91481.91827284095</x:v>
      </x:c>
      <x:c r="M155" s="54" t="n">
        <x:v>0.025598359984382774</x:v>
      </x:c>
      <x:c r="N155" s="54" t="n">
        <x:v>0.5791818231110601</x:v>
      </x:c>
      <x:c r="O155" s="55" t="n">
        <x:v>271424.14281422785</x:v>
      </x:c>
      <x:c r="P155" s="55" t="n">
        <x:v>496119.0848587859</x:v>
      </x:c>
      <x:c r="Q155" s="55" t="n">
        <x:v>510019.9975933949</x:v>
      </x:c>
      <x:c r="R155" s="54" t="n">
        <x:v>0.82</x:v>
      </x:c>
      <x:c r="S155" s="54" t="n">
        <x:v>0.95</x:v>
      </x:c>
      <x:c r="T155" s="54" t="n">
        <x:v>0.36</x:v>
      </x:c>
      <x:c r="U155" s="54" t="n">
        <x:v>0.31</x:v>
      </x:c>
      <x:c r="V155" s="54" t="n">
        <x:v>1</x:v>
      </x:c>
      <x:c r="W155" s="53" t="str">
        <x:v>calibrated reconstruction; not historical author input</x:v>
      </x:c>
    </x:row>
    <x:row r="156" ht="28" hidden="0" customHeight="1">
      <x:c r="A156" s="48" t="str">
        <x:v>x_r20_s2_m1</x:v>
      </x:c>
      <x:c r="B156" s="48" t="str">
        <x:v>r20</x:v>
      </x:c>
      <x:c r="C156" s="48" t="str">
        <x:v>CN-GX</x:v>
      </x:c>
      <x:c r="D156" s="48" t="str">
        <x:v>Guangxi</x:v>
      </x:c>
      <x:c r="E156" s="48" t="str">
        <x:v>广西</x:v>
      </x:c>
      <x:c r="F156" s="48" t="n">
        <x:v>2</x:v>
      </x:c>
      <x:c r="G156" s="48" t="str">
        <x:v>freshwater_capture</x:v>
      </x:c>
      <x:c r="H156" s="48" t="str">
        <x:v>淡水捕捞</x:v>
      </x:c>
      <x:c r="I156" s="48" t="n">
        <x:v>1</x:v>
      </x:c>
      <x:c r="J156" s="48" t="str">
        <x:v>fresh_sales</x:v>
      </x:c>
      <x:c r="K156" s="48" t="str">
        <x:v>鲜销</x:v>
      </x:c>
      <x:c r="L156" s="55" t="n">
        <x:v>73906.89741468942</x:v>
      </x:c>
      <x:c r="M156" s="54" t="n">
        <x:v>0.025598359984382774</x:v>
      </x:c>
      <x:c r="N156" s="54" t="n">
        <x:v>0.5791818231110601</x:v>
      </x:c>
      <x:c r="O156" s="55" t="n">
        <x:v>271424.14281422785</x:v>
      </x:c>
      <x:c r="P156" s="55" t="n">
        <x:v>496119.0848587859</x:v>
      </x:c>
      <x:c r="Q156" s="55" t="n">
        <x:v>510019.9975933949</x:v>
      </x:c>
      <x:c r="R156" s="54" t="n">
        <x:v>0.7</x:v>
      </x:c>
      <x:c r="S156" s="54" t="n">
        <x:v>0.67</x:v>
      </x:c>
      <x:c r="T156" s="54" t="n">
        <x:v>0.26</x:v>
      </x:c>
      <x:c r="U156" s="54" t="n">
        <x:v>0.42</x:v>
      </x:c>
      <x:c r="V156" s="54" t="n">
        <x:v>0.7</x:v>
      </x:c>
      <x:c r="W156" s="53" t="str">
        <x:v>calibrated reconstruction; not historical author input</x:v>
      </x:c>
    </x:row>
    <x:row r="157" ht="28" hidden="0" customHeight="1">
      <x:c r="A157" s="48" t="str">
        <x:v>x_r20_s2_m2</x:v>
      </x:c>
      <x:c r="B157" s="48" t="str">
        <x:v>r20</x:v>
      </x:c>
      <x:c r="C157" s="48" t="str">
        <x:v>CN-GX</x:v>
      </x:c>
      <x:c r="D157" s="48" t="str">
        <x:v>Guangxi</x:v>
      </x:c>
      <x:c r="E157" s="48" t="str">
        <x:v>广西</x:v>
      </x:c>
      <x:c r="F157" s="48" t="n">
        <x:v>2</x:v>
      </x:c>
      <x:c r="G157" s="48" t="str">
        <x:v>freshwater_capture</x:v>
      </x:c>
      <x:c r="H157" s="48" t="str">
        <x:v>淡水捕捞</x:v>
      </x:c>
      <x:c r="I157" s="48" t="n">
        <x:v>2</x:v>
      </x:c>
      <x:c r="J157" s="48" t="str">
        <x:v>deep_processing</x:v>
      </x:c>
      <x:c r="K157" s="48" t="str">
        <x:v>深加工</x:v>
      </x:c>
      <x:c r="L157" s="55" t="n">
        <x:v>33204.54811384597</x:v>
      </x:c>
      <x:c r="M157" s="54" t="n">
        <x:v>0.025598359984382774</x:v>
      </x:c>
      <x:c r="N157" s="54" t="n">
        <x:v>0.5791818231110601</x:v>
      </x:c>
      <x:c r="O157" s="55" t="n">
        <x:v>271424.14281422785</x:v>
      </x:c>
      <x:c r="P157" s="55" t="n">
        <x:v>496119.0848587859</x:v>
      </x:c>
      <x:c r="Q157" s="55" t="n">
        <x:v>510019.9975933949</x:v>
      </x:c>
      <x:c r="R157" s="54" t="n">
        <x:v>0.86</x:v>
      </x:c>
      <x:c r="S157" s="54" t="n">
        <x:v>0.99</x:v>
      </x:c>
      <x:c r="T157" s="54" t="n">
        <x:v>0.34</x:v>
      </x:c>
      <x:c r="U157" s="54" t="n">
        <x:v>0.45</x:v>
      </x:c>
      <x:c r="V157" s="54" t="n">
        <x:v>0.7</x:v>
      </x:c>
      <x:c r="W157" s="53" t="str">
        <x:v>calibrated reconstruction; not historical author input</x:v>
      </x:c>
    </x:row>
    <x:row r="158" ht="28" hidden="0" customHeight="1">
      <x:c r="A158" s="48" t="str">
        <x:v>x_r20_s3_m1</x:v>
      </x:c>
      <x:c r="B158" s="48" t="str">
        <x:v>r20</x:v>
      </x:c>
      <x:c r="C158" s="48" t="str">
        <x:v>CN-GX</x:v>
      </x:c>
      <x:c r="D158" s="48" t="str">
        <x:v>Guangxi</x:v>
      </x:c>
      <x:c r="E158" s="48" t="str">
        <x:v>广西</x:v>
      </x:c>
      <x:c r="F158" s="48" t="n">
        <x:v>3</x:v>
      </x:c>
      <x:c r="G158" s="48" t="str">
        <x:v>marine_aquaculture</x:v>
      </x:c>
      <x:c r="H158" s="48" t="str">
        <x:v>海水养殖</x:v>
      </x:c>
      <x:c r="I158" s="48" t="n">
        <x:v>1</x:v>
      </x:c>
      <x:c r="J158" s="48" t="str">
        <x:v>fresh_sales</x:v>
      </x:c>
      <x:c r="K158" s="48" t="str">
        <x:v>鲜销</x:v>
      </x:c>
      <x:c r="L158" s="55" t="n">
        <x:v>508298.4577295987</x:v>
      </x:c>
      <x:c r="M158" s="54" t="n">
        <x:v>0.025598359984382774</x:v>
      </x:c>
      <x:c r="N158" s="54" t="n">
        <x:v>0.5791818231110601</x:v>
      </x:c>
      <x:c r="O158" s="55" t="n">
        <x:v>271424.14281422785</x:v>
      </x:c>
      <x:c r="P158" s="55" t="n">
        <x:v>496119.0848587859</x:v>
      </x:c>
      <x:c r="Q158" s="55" t="n">
        <x:v>510019.9975933949</x:v>
      </x:c>
      <x:c r="R158" s="54" t="n">
        <x:v>0.84</x:v>
      </x:c>
      <x:c r="S158" s="54" t="n">
        <x:v>0.8</x:v>
      </x:c>
      <x:c r="T158" s="54" t="n">
        <x:v>0.33</x:v>
      </x:c>
      <x:c r="U158" s="54" t="n">
        <x:v>0.78</x:v>
      </x:c>
      <x:c r="V158" s="54" t="n">
        <x:v>0.11</x:v>
      </x:c>
      <x:c r="W158" s="53" t="str">
        <x:v>calibrated reconstruction; not historical author input</x:v>
      </x:c>
    </x:row>
    <x:row r="159" ht="28" hidden="0" customHeight="1">
      <x:c r="A159" s="48" t="str">
        <x:v>x_r20_s3_m2</x:v>
      </x:c>
      <x:c r="B159" s="48" t="str">
        <x:v>r20</x:v>
      </x:c>
      <x:c r="C159" s="48" t="str">
        <x:v>CN-GX</x:v>
      </x:c>
      <x:c r="D159" s="48" t="str">
        <x:v>Guangxi</x:v>
      </x:c>
      <x:c r="E159" s="48" t="str">
        <x:v>广西</x:v>
      </x:c>
      <x:c r="F159" s="48" t="n">
        <x:v>3</x:v>
      </x:c>
      <x:c r="G159" s="48" t="str">
        <x:v>marine_aquaculture</x:v>
      </x:c>
      <x:c r="H159" s="48" t="str">
        <x:v>海水养殖</x:v>
      </x:c>
      <x:c r="I159" s="48" t="n">
        <x:v>2</x:v>
      </x:c>
      <x:c r="J159" s="48" t="str">
        <x:v>deep_processing</x:v>
      </x:c>
      <x:c r="K159" s="48" t="str">
        <x:v>深加工</x:v>
      </x:c>
      <x:c r="L159" s="55" t="n">
        <x:v>228365.97376257333</x:v>
      </x:c>
      <x:c r="M159" s="54" t="n">
        <x:v>0.025598359984382774</x:v>
      </x:c>
      <x:c r="N159" s="54" t="n">
        <x:v>0.5791818231110601</x:v>
      </x:c>
      <x:c r="O159" s="55" t="n">
        <x:v>271424.14281422785</x:v>
      </x:c>
      <x:c r="P159" s="55" t="n">
        <x:v>496119.0848587859</x:v>
      </x:c>
      <x:c r="Q159" s="55" t="n">
        <x:v>510019.9975933949</x:v>
      </x:c>
      <x:c r="R159" s="54" t="n">
        <x:v>1.02</x:v>
      </x:c>
      <x:c r="S159" s="54" t="n">
        <x:v>1.16</x:v>
      </x:c>
      <x:c r="T159" s="54" t="n">
        <x:v>0.41</x:v>
      </x:c>
      <x:c r="U159" s="54" t="n">
        <x:v>0.81</x:v>
      </x:c>
      <x:c r="V159" s="54" t="n">
        <x:v>0.11</x:v>
      </x:c>
      <x:c r="W159" s="53" t="str">
        <x:v>calibrated reconstruction; not historical author input</x:v>
      </x:c>
    </x:row>
    <x:row r="160" ht="28" hidden="0" customHeight="1">
      <x:c r="A160" s="48" t="str">
        <x:v>x_r20_s4_m1</x:v>
      </x:c>
      <x:c r="B160" s="48" t="str">
        <x:v>r20</x:v>
      </x:c>
      <x:c r="C160" s="48" t="str">
        <x:v>CN-GX</x:v>
      </x:c>
      <x:c r="D160" s="48" t="str">
        <x:v>Guangxi</x:v>
      </x:c>
      <x:c r="E160" s="48" t="str">
        <x:v>广西</x:v>
      </x:c>
      <x:c r="F160" s="48" t="n">
        <x:v>4</x:v>
      </x:c>
      <x:c r="G160" s="48" t="str">
        <x:v>freshwater_aquaculture</x:v>
      </x:c>
      <x:c r="H160" s="48" t="str">
        <x:v>淡水养殖</x:v>
      </x:c>
      <x:c r="I160" s="48" t="n">
        <x:v>1</x:v>
      </x:c>
      <x:c r="J160" s="48" t="str">
        <x:v>fresh_sales</x:v>
      </x:c>
      <x:c r="K160" s="48" t="str">
        <x:v>鲜销</x:v>
      </x:c>
      <x:c r="L160" s="55" t="n">
        <x:v>722477.6298293108</x:v>
      </x:c>
      <x:c r="M160" s="54" t="n">
        <x:v>0.025598359984382774</x:v>
      </x:c>
      <x:c r="N160" s="54" t="n">
        <x:v>0.5791818231110601</x:v>
      </x:c>
      <x:c r="O160" s="55" t="n">
        <x:v>271424.14281422785</x:v>
      </x:c>
      <x:c r="P160" s="55" t="n">
        <x:v>496119.0848587859</x:v>
      </x:c>
      <x:c r="Q160" s="55" t="n">
        <x:v>510019.9975933949</x:v>
      </x:c>
      <x:c r="R160" s="54" t="n">
        <x:v>0.88</x:v>
      </x:c>
      <x:c r="S160" s="54" t="n">
        <x:v>0.84</x:v>
      </x:c>
      <x:c r="T160" s="54" t="n">
        <x:v>0.31</x:v>
      </x:c>
      <x:c r="U160" s="54" t="n">
        <x:v>0.88</x:v>
      </x:c>
      <x:c r="V160" s="54" t="n">
        <x:v>0.08</x:v>
      </x:c>
      <x:c r="W160" s="53" t="str">
        <x:v>calibrated reconstruction; not historical author input</x:v>
      </x:c>
    </x:row>
    <x:row r="161" ht="28" hidden="0" customHeight="1">
      <x:c r="A161" s="48" t="str">
        <x:v>x_r20_s4_m2</x:v>
      </x:c>
      <x:c r="B161" s="48" t="str">
        <x:v>r20</x:v>
      </x:c>
      <x:c r="C161" s="48" t="str">
        <x:v>CN-GX</x:v>
      </x:c>
      <x:c r="D161" s="48" t="str">
        <x:v>Guangxi</x:v>
      </x:c>
      <x:c r="E161" s="48" t="str">
        <x:v>广西</x:v>
      </x:c>
      <x:c r="F161" s="48" t="n">
        <x:v>4</x:v>
      </x:c>
      <x:c r="G161" s="48" t="str">
        <x:v>freshwater_aquaculture</x:v>
      </x:c>
      <x:c r="H161" s="48" t="str">
        <x:v>淡水养殖</x:v>
      </x:c>
      <x:c r="I161" s="48" t="n">
        <x:v>2</x:v>
      </x:c>
      <x:c r="J161" s="48" t="str">
        <x:v>deep_processing</x:v>
      </x:c>
      <x:c r="K161" s="48" t="str">
        <x:v>深加工</x:v>
      </x:c>
      <x:c r="L161" s="55" t="n">
        <x:v>324591.3989088208</x:v>
      </x:c>
      <x:c r="M161" s="54" t="n">
        <x:v>0.025598359984382774</x:v>
      </x:c>
      <x:c r="N161" s="54" t="n">
        <x:v>0.5791818231110601</x:v>
      </x:c>
      <x:c r="O161" s="55" t="n">
        <x:v>271424.14281422785</x:v>
      </x:c>
      <x:c r="P161" s="55" t="n">
        <x:v>496119.0848587859</x:v>
      </x:c>
      <x:c r="Q161" s="55" t="n">
        <x:v>510019.9975933949</x:v>
      </x:c>
      <x:c r="R161" s="54" t="n">
        <x:v>1.06</x:v>
      </x:c>
      <x:c r="S161" s="54" t="n">
        <x:v>1.2</x:v>
      </x:c>
      <x:c r="T161" s="54" t="n">
        <x:v>0.39</x:v>
      </x:c>
      <x:c r="U161" s="54" t="n">
        <x:v>0.91</x:v>
      </x:c>
      <x:c r="V161" s="54" t="n">
        <x:v>0.08</x:v>
      </x:c>
      <x:c r="W161" s="53" t="str">
        <x:v>calibrated reconstruction; not historical author input</x:v>
      </x:c>
    </x:row>
    <x:row r="162" ht="28" hidden="0" customHeight="1">
      <x:c r="A162" s="48" t="str">
        <x:v>x_r21_s1_m1</x:v>
      </x:c>
      <x:c r="B162" s="48" t="str">
        <x:v>r21</x:v>
      </x:c>
      <x:c r="C162" s="48" t="str">
        <x:v>CN-HI</x:v>
      </x:c>
      <x:c r="D162" s="48" t="str">
        <x:v>Hainan</x:v>
      </x:c>
      <x:c r="E162" s="48" t="str">
        <x:v>海南</x:v>
      </x:c>
      <x:c r="F162" s="48" t="n">
        <x:v>1</x:v>
      </x:c>
      <x:c r="G162" s="48" t="str">
        <x:v>marine_capture</x:v>
      </x:c>
      <x:c r="H162" s="48" t="str">
        <x:v>海洋捕捞</x:v>
      </x:c>
      <x:c r="I162" s="48" t="n">
        <x:v>1</x:v>
      </x:c>
      <x:c r="J162" s="48" t="str">
        <x:v>fresh_sales</x:v>
      </x:c>
      <x:c r="K162" s="48" t="str">
        <x:v>鲜销</x:v>
      </x:c>
      <x:c r="L162" s="55" t="n">
        <x:v>174751.516474942</x:v>
      </x:c>
      <x:c r="M162" s="54" t="n">
        <x:v>0.021969007431234307</x:v>
      </x:c>
      <x:c r="N162" s="54" t="n">
        <x:v>0.6416860076867712</x:v>
      </x:c>
      <x:c r="O162" s="55" t="n">
        <x:v>274322.41535170155</x:v>
      </x:c>
      <x:c r="P162" s="55" t="n">
        <x:v>411161.6463849504</x:v>
      </x:c>
      <x:c r="Q162" s="55" t="n">
        <x:v>440104.9479166427</x:v>
      </x:c>
      <x:c r="R162" s="54" t="n">
        <x:v>0.65</x:v>
      </x:c>
      <x:c r="S162" s="54" t="n">
        <x:v>0.62</x:v>
      </x:c>
      <x:c r="T162" s="54" t="n">
        <x:v>0.29</x:v>
      </x:c>
      <x:c r="U162" s="54" t="n">
        <x:v>0.28</x:v>
      </x:c>
      <x:c r="V162" s="54" t="n">
        <x:v>1</x:v>
      </x:c>
      <x:c r="W162" s="53" t="str">
        <x:v>calibrated reconstruction; not historical author input</x:v>
      </x:c>
    </x:row>
    <x:row r="163" ht="28" hidden="0" customHeight="1">
      <x:c r="A163" s="48" t="str">
        <x:v>x_r21_s1_m2</x:v>
      </x:c>
      <x:c r="B163" s="48" t="str">
        <x:v>r21</x:v>
      </x:c>
      <x:c r="C163" s="48" t="str">
        <x:v>CN-HI</x:v>
      </x:c>
      <x:c r="D163" s="48" t="str">
        <x:v>Hainan</x:v>
      </x:c>
      <x:c r="E163" s="48" t="str">
        <x:v>海南</x:v>
      </x:c>
      <x:c r="F163" s="48" t="n">
        <x:v>1</x:v>
      </x:c>
      <x:c r="G163" s="48" t="str">
        <x:v>marine_capture</x:v>
      </x:c>
      <x:c r="H163" s="48" t="str">
        <x:v>海洋捕捞</x:v>
      </x:c>
      <x:c r="I163" s="48" t="n">
        <x:v>2</x:v>
      </x:c>
      <x:c r="J163" s="48" t="str">
        <x:v>deep_processing</x:v>
      </x:c>
      <x:c r="K163" s="48" t="str">
        <x:v>深加工</x:v>
      </x:c>
      <x:c r="L163" s="55" t="n">
        <x:v>78511.55088004642</x:v>
      </x:c>
      <x:c r="M163" s="54" t="n">
        <x:v>0.021969007431234307</x:v>
      </x:c>
      <x:c r="N163" s="54" t="n">
        <x:v>0.6416860076867712</x:v>
      </x:c>
      <x:c r="O163" s="55" t="n">
        <x:v>274322.41535170155</x:v>
      </x:c>
      <x:c r="P163" s="55" t="n">
        <x:v>411161.6463849504</x:v>
      </x:c>
      <x:c r="Q163" s="55" t="n">
        <x:v>440104.9479166427</x:v>
      </x:c>
      <x:c r="R163" s="54" t="n">
        <x:v>0.82</x:v>
      </x:c>
      <x:c r="S163" s="54" t="n">
        <x:v>0.95</x:v>
      </x:c>
      <x:c r="T163" s="54" t="n">
        <x:v>0.36</x:v>
      </x:c>
      <x:c r="U163" s="54" t="n">
        <x:v>0.31</x:v>
      </x:c>
      <x:c r="V163" s="54" t="n">
        <x:v>1</x:v>
      </x:c>
      <x:c r="W163" s="53" t="str">
        <x:v>calibrated reconstruction; not historical author input</x:v>
      </x:c>
    </x:row>
    <x:row r="164" ht="28" hidden="0" customHeight="1">
      <x:c r="A164" s="48" t="str">
        <x:v>x_r21_s2_m1</x:v>
      </x:c>
      <x:c r="B164" s="48" t="str">
        <x:v>r21</x:v>
      </x:c>
      <x:c r="C164" s="48" t="str">
        <x:v>CN-HI</x:v>
      </x:c>
      <x:c r="D164" s="48" t="str">
        <x:v>Hainan</x:v>
      </x:c>
      <x:c r="E164" s="48" t="str">
        <x:v>海南</x:v>
      </x:c>
      <x:c r="F164" s="48" t="n">
        <x:v>2</x:v>
      </x:c>
      <x:c r="G164" s="48" t="str">
        <x:v>freshwater_capture</x:v>
      </x:c>
      <x:c r="H164" s="48" t="str">
        <x:v>淡水捕捞</x:v>
      </x:c>
      <x:c r="I164" s="48" t="n">
        <x:v>1</x:v>
      </x:c>
      <x:c r="J164" s="48" t="str">
        <x:v>fresh_sales</x:v>
      </x:c>
      <x:c r="K164" s="48" t="str">
        <x:v>鲜销</x:v>
      </x:c>
      <x:c r="L164" s="55" t="n">
        <x:v>63428.32820201599</x:v>
      </x:c>
      <x:c r="M164" s="54" t="n">
        <x:v>0.021969007431234307</x:v>
      </x:c>
      <x:c r="N164" s="54" t="n">
        <x:v>0.6416860076867712</x:v>
      </x:c>
      <x:c r="O164" s="55" t="n">
        <x:v>274322.41535170155</x:v>
      </x:c>
      <x:c r="P164" s="55" t="n">
        <x:v>411161.6463849504</x:v>
      </x:c>
      <x:c r="Q164" s="55" t="n">
        <x:v>440104.9479166427</x:v>
      </x:c>
      <x:c r="R164" s="54" t="n">
        <x:v>0.7</x:v>
      </x:c>
      <x:c r="S164" s="54" t="n">
        <x:v>0.67</x:v>
      </x:c>
      <x:c r="T164" s="54" t="n">
        <x:v>0.26</x:v>
      </x:c>
      <x:c r="U164" s="54" t="n">
        <x:v>0.42</x:v>
      </x:c>
      <x:c r="V164" s="54" t="n">
        <x:v>0.7</x:v>
      </x:c>
      <x:c r="W164" s="53" t="str">
        <x:v>calibrated reconstruction; not historical author input</x:v>
      </x:c>
    </x:row>
    <x:row r="165" ht="28" hidden="0" customHeight="1">
      <x:c r="A165" s="48" t="str">
        <x:v>x_r21_s2_m2</x:v>
      </x:c>
      <x:c r="B165" s="48" t="str">
        <x:v>r21</x:v>
      </x:c>
      <x:c r="C165" s="48" t="str">
        <x:v>CN-HI</x:v>
      </x:c>
      <x:c r="D165" s="48" t="str">
        <x:v>Hainan</x:v>
      </x:c>
      <x:c r="E165" s="48" t="str">
        <x:v>海南</x:v>
      </x:c>
      <x:c r="F165" s="48" t="n">
        <x:v>2</x:v>
      </x:c>
      <x:c r="G165" s="48" t="str">
        <x:v>freshwater_capture</x:v>
      </x:c>
      <x:c r="H165" s="48" t="str">
        <x:v>淡水捕捞</x:v>
      </x:c>
      <x:c r="I165" s="48" t="n">
        <x:v>2</x:v>
      </x:c>
      <x:c r="J165" s="48" t="str">
        <x:v>deep_processing</x:v>
      </x:c>
      <x:c r="K165" s="48" t="str">
        <x:v>深加工</x:v>
      </x:c>
      <x:c r="L165" s="55" t="n">
        <x:v>28496.785134239068</x:v>
      </x:c>
      <x:c r="M165" s="54" t="n">
        <x:v>0.021969007431234307</x:v>
      </x:c>
      <x:c r="N165" s="54" t="n">
        <x:v>0.6416860076867712</x:v>
      </x:c>
      <x:c r="O165" s="55" t="n">
        <x:v>274322.41535170155</x:v>
      </x:c>
      <x:c r="P165" s="55" t="n">
        <x:v>411161.6463849504</x:v>
      </x:c>
      <x:c r="Q165" s="55" t="n">
        <x:v>440104.9479166427</x:v>
      </x:c>
      <x:c r="R165" s="54" t="n">
        <x:v>0.86</x:v>
      </x:c>
      <x:c r="S165" s="54" t="n">
        <x:v>0.99</x:v>
      </x:c>
      <x:c r="T165" s="54" t="n">
        <x:v>0.34</x:v>
      </x:c>
      <x:c r="U165" s="54" t="n">
        <x:v>0.45</x:v>
      </x:c>
      <x:c r="V165" s="54" t="n">
        <x:v>0.7</x:v>
      </x:c>
      <x:c r="W165" s="53" t="str">
        <x:v>calibrated reconstruction; not historical author input</x:v>
      </x:c>
    </x:row>
    <x:row r="166" ht="28" hidden="0" customHeight="1">
      <x:c r="A166" s="48" t="str">
        <x:v>x_r21_s3_m1</x:v>
      </x:c>
      <x:c r="B166" s="48" t="str">
        <x:v>r21</x:v>
      </x:c>
      <x:c r="C166" s="48" t="str">
        <x:v>CN-HI</x:v>
      </x:c>
      <x:c r="D166" s="48" t="str">
        <x:v>Hainan</x:v>
      </x:c>
      <x:c r="E166" s="48" t="str">
        <x:v>海南</x:v>
      </x:c>
      <x:c r="F166" s="48" t="n">
        <x:v>3</x:v>
      </x:c>
      <x:c r="G166" s="48" t="str">
        <x:v>marine_aquaculture</x:v>
      </x:c>
      <x:c r="H166" s="48" t="str">
        <x:v>海水养殖</x:v>
      </x:c>
      <x:c r="I166" s="48" t="n">
        <x:v>1</x:v>
      </x:c>
      <x:c r="J166" s="48" t="str">
        <x:v>fresh_sales</x:v>
      </x:c>
      <x:c r="K166" s="48" t="str">
        <x:v>鲜销</x:v>
      </x:c>
      <x:c r="L166" s="55" t="n">
        <x:v>436231.56334855896</x:v>
      </x:c>
      <x:c r="M166" s="54" t="n">
        <x:v>0.021969007431234307</x:v>
      </x:c>
      <x:c r="N166" s="54" t="n">
        <x:v>0.6416860076867712</x:v>
      </x:c>
      <x:c r="O166" s="55" t="n">
        <x:v>274322.41535170155</x:v>
      </x:c>
      <x:c r="P166" s="55" t="n">
        <x:v>411161.6463849504</x:v>
      </x:c>
      <x:c r="Q166" s="55" t="n">
        <x:v>440104.9479166427</x:v>
      </x:c>
      <x:c r="R166" s="54" t="n">
        <x:v>0.84</x:v>
      </x:c>
      <x:c r="S166" s="54" t="n">
        <x:v>0.8</x:v>
      </x:c>
      <x:c r="T166" s="54" t="n">
        <x:v>0.33</x:v>
      </x:c>
      <x:c r="U166" s="54" t="n">
        <x:v>0.78</x:v>
      </x:c>
      <x:c r="V166" s="54" t="n">
        <x:v>0.11</x:v>
      </x:c>
      <x:c r="W166" s="53" t="str">
        <x:v>calibrated reconstruction; not historical author input</x:v>
      </x:c>
    </x:row>
    <x:row r="167" ht="28" hidden="0" customHeight="1">
      <x:c r="A167" s="48" t="str">
        <x:v>x_r21_s3_m2</x:v>
      </x:c>
      <x:c r="B167" s="48" t="str">
        <x:v>r21</x:v>
      </x:c>
      <x:c r="C167" s="48" t="str">
        <x:v>CN-HI</x:v>
      </x:c>
      <x:c r="D167" s="48" t="str">
        <x:v>Hainan</x:v>
      </x:c>
      <x:c r="E167" s="48" t="str">
        <x:v>海南</x:v>
      </x:c>
      <x:c r="F167" s="48" t="n">
        <x:v>3</x:v>
      </x:c>
      <x:c r="G167" s="48" t="str">
        <x:v>marine_aquaculture</x:v>
      </x:c>
      <x:c r="H167" s="48" t="str">
        <x:v>海水养殖</x:v>
      </x:c>
      <x:c r="I167" s="48" t="n">
        <x:v>2</x:v>
      </x:c>
      <x:c r="J167" s="48" t="str">
        <x:v>deep_processing</x:v>
      </x:c>
      <x:c r="K167" s="48" t="str">
        <x:v>深加工</x:v>
      </x:c>
      <x:c r="L167" s="55" t="n">
        <x:v>195988.0936783381</x:v>
      </x:c>
      <x:c r="M167" s="54" t="n">
        <x:v>0.021969007431234307</x:v>
      </x:c>
      <x:c r="N167" s="54" t="n">
        <x:v>0.6416860076867712</x:v>
      </x:c>
      <x:c r="O167" s="55" t="n">
        <x:v>274322.41535170155</x:v>
      </x:c>
      <x:c r="P167" s="55" t="n">
        <x:v>411161.6463849504</x:v>
      </x:c>
      <x:c r="Q167" s="55" t="n">
        <x:v>440104.9479166427</x:v>
      </x:c>
      <x:c r="R167" s="54" t="n">
        <x:v>1.02</x:v>
      </x:c>
      <x:c r="S167" s="54" t="n">
        <x:v>1.16</x:v>
      </x:c>
      <x:c r="T167" s="54" t="n">
        <x:v>0.41</x:v>
      </x:c>
      <x:c r="U167" s="54" t="n">
        <x:v>0.81</x:v>
      </x:c>
      <x:c r="V167" s="54" t="n">
        <x:v>0.11</x:v>
      </x:c>
      <x:c r="W167" s="53" t="str">
        <x:v>calibrated reconstruction; not historical author input</x:v>
      </x:c>
    </x:row>
    <x:row r="168" ht="28" hidden="0" customHeight="1">
      <x:c r="A168" s="48" t="str">
        <x:v>x_r21_s4_m1</x:v>
      </x:c>
      <x:c r="B168" s="48" t="str">
        <x:v>r21</x:v>
      </x:c>
      <x:c r="C168" s="48" t="str">
        <x:v>CN-HI</x:v>
      </x:c>
      <x:c r="D168" s="48" t="str">
        <x:v>Hainan</x:v>
      </x:c>
      <x:c r="E168" s="48" t="str">
        <x:v>海南</x:v>
      </x:c>
      <x:c r="F168" s="48" t="n">
        <x:v>4</x:v>
      </x:c>
      <x:c r="G168" s="48" t="str">
        <x:v>freshwater_aquaculture</x:v>
      </x:c>
      <x:c r="H168" s="48" t="str">
        <x:v>淡水养殖</x:v>
      </x:c>
      <x:c r="I168" s="48" t="n">
        <x:v>1</x:v>
      </x:c>
      <x:c r="J168" s="48" t="str">
        <x:v>fresh_sales</x:v>
      </x:c>
      <x:c r="K168" s="48" t="str">
        <x:v>鲜销</x:v>
      </x:c>
      <x:c r="L168" s="55" t="n">
        <x:v>620044.2695666461</x:v>
      </x:c>
      <x:c r="M168" s="54" t="n">
        <x:v>0.021969007431234307</x:v>
      </x:c>
      <x:c r="N168" s="54" t="n">
        <x:v>0.6416860076867712</x:v>
      </x:c>
      <x:c r="O168" s="55" t="n">
        <x:v>274322.41535170155</x:v>
      </x:c>
      <x:c r="P168" s="55" t="n">
        <x:v>411161.6463849504</x:v>
      </x:c>
      <x:c r="Q168" s="55" t="n">
        <x:v>440104.9479166427</x:v>
      </x:c>
      <x:c r="R168" s="54" t="n">
        <x:v>0.88</x:v>
      </x:c>
      <x:c r="S168" s="54" t="n">
        <x:v>0.84</x:v>
      </x:c>
      <x:c r="T168" s="54" t="n">
        <x:v>0.31</x:v>
      </x:c>
      <x:c r="U168" s="54" t="n">
        <x:v>0.88</x:v>
      </x:c>
      <x:c r="V168" s="54" t="n">
        <x:v>0.08</x:v>
      </x:c>
      <x:c r="W168" s="53" t="str">
        <x:v>calibrated reconstruction; not historical author input</x:v>
      </x:c>
    </x:row>
    <x:row r="169" ht="28" hidden="0" customHeight="1">
      <x:c r="A169" s="48" t="str">
        <x:v>x_r21_s4_m2</x:v>
      </x:c>
      <x:c r="B169" s="48" t="str">
        <x:v>r21</x:v>
      </x:c>
      <x:c r="C169" s="48" t="str">
        <x:v>CN-HI</x:v>
      </x:c>
      <x:c r="D169" s="48" t="str">
        <x:v>Hainan</x:v>
      </x:c>
      <x:c r="E169" s="48" t="str">
        <x:v>海南</x:v>
      </x:c>
      <x:c r="F169" s="48" t="n">
        <x:v>4</x:v>
      </x:c>
      <x:c r="G169" s="48" t="str">
        <x:v>freshwater_aquaculture</x:v>
      </x:c>
      <x:c r="H169" s="48" t="str">
        <x:v>淡水养殖</x:v>
      </x:c>
      <x:c r="I169" s="48" t="n">
        <x:v>2</x:v>
      </x:c>
      <x:c r="J169" s="48" t="str">
        <x:v>deep_processing</x:v>
      </x:c>
      <x:c r="K169" s="48" t="str">
        <x:v>深加工</x:v>
      </x:c>
      <x:c r="L169" s="55" t="n">
        <x:v>278570.6138632758</x:v>
      </x:c>
      <x:c r="M169" s="54" t="n">
        <x:v>0.021969007431234307</x:v>
      </x:c>
      <x:c r="N169" s="54" t="n">
        <x:v>0.6416860076867712</x:v>
      </x:c>
      <x:c r="O169" s="55" t="n">
        <x:v>274322.41535170155</x:v>
      </x:c>
      <x:c r="P169" s="55" t="n">
        <x:v>411161.6463849504</x:v>
      </x:c>
      <x:c r="Q169" s="55" t="n">
        <x:v>440104.9479166427</x:v>
      </x:c>
      <x:c r="R169" s="54" t="n">
        <x:v>1.06</x:v>
      </x:c>
      <x:c r="S169" s="54" t="n">
        <x:v>1.2</x:v>
      </x:c>
      <x:c r="T169" s="54" t="n">
        <x:v>0.39</x:v>
      </x:c>
      <x:c r="U169" s="54" t="n">
        <x:v>0.91</x:v>
      </x:c>
      <x:c r="V169" s="54" t="n">
        <x:v>0.08</x:v>
      </x:c>
      <x:c r="W169" s="53" t="str">
        <x:v>calibrated reconstruction; not historical author input</x:v>
      </x:c>
    </x:row>
    <x:row r="170" ht="28" hidden="0" customHeight="1">
      <x:c r="A170" s="48" t="str">
        <x:v>x_r22_s1_m1</x:v>
      </x:c>
      <x:c r="B170" s="48" t="str">
        <x:v>r22</x:v>
      </x:c>
      <x:c r="C170" s="48" t="str">
        <x:v>CN-CQ</x:v>
      </x:c>
      <x:c r="D170" s="48" t="str">
        <x:v>Chongqing</x:v>
      </x:c>
      <x:c r="E170" s="48" t="str">
        <x:v>重庆</x:v>
      </x:c>
      <x:c r="F170" s="48" t="n">
        <x:v>1</x:v>
      </x:c>
      <x:c r="G170" s="48" t="str">
        <x:v>marine_capture</x:v>
      </x:c>
      <x:c r="H170" s="48" t="str">
        <x:v>海洋捕捞</x:v>
      </x:c>
      <x:c r="I170" s="48" t="n">
        <x:v>1</x:v>
      </x:c>
      <x:c r="J170" s="48" t="str">
        <x:v>fresh_sales</x:v>
      </x:c>
      <x:c r="K170" s="48" t="str">
        <x:v>鲜销</x:v>
      </x:c>
      <x:c r="L170" s="55" t="n">
        <x:v>196999.08102962576</x:v>
      </x:c>
      <x:c r="M170" s="54" t="n">
        <x:v>0.02476587535483139</x:v>
      </x:c>
      <x:c r="N170" s="54" t="n">
        <x:v>0.580378740612527</x:v>
      </x:c>
      <x:c r="O170" s="55" t="n">
        <x:v>308935.8438390641</x:v>
      </x:c>
      <x:c r="P170" s="55" t="n">
        <x:v>447028.24211097317</x:v>
      </x:c>
      <x:c r="Q170" s="55" t="n">
        <x:v>439943.44747418456</x:v>
      </x:c>
      <x:c r="R170" s="54" t="n">
        <x:v>0.65</x:v>
      </x:c>
      <x:c r="S170" s="54" t="n">
        <x:v>0.62</x:v>
      </x:c>
      <x:c r="T170" s="54" t="n">
        <x:v>0.29</x:v>
      </x:c>
      <x:c r="U170" s="54" t="n">
        <x:v>0.28</x:v>
      </x:c>
      <x:c r="V170" s="54" t="n">
        <x:v>1</x:v>
      </x:c>
      <x:c r="W170" s="53" t="str">
        <x:v>calibrated reconstruction; not historical author input</x:v>
      </x:c>
    </x:row>
    <x:row r="171" ht="28" hidden="0" customHeight="1">
      <x:c r="A171" s="48" t="str">
        <x:v>x_r22_s1_m2</x:v>
      </x:c>
      <x:c r="B171" s="48" t="str">
        <x:v>r22</x:v>
      </x:c>
      <x:c r="C171" s="48" t="str">
        <x:v>CN-CQ</x:v>
      </x:c>
      <x:c r="D171" s="48" t="str">
        <x:v>Chongqing</x:v>
      </x:c>
      <x:c r="E171" s="48" t="str">
        <x:v>重庆</x:v>
      </x:c>
      <x:c r="F171" s="48" t="n">
        <x:v>1</x:v>
      </x:c>
      <x:c r="G171" s="48" t="str">
        <x:v>marine_capture</x:v>
      </x:c>
      <x:c r="H171" s="48" t="str">
        <x:v>海洋捕捞</x:v>
      </x:c>
      <x:c r="I171" s="48" t="n">
        <x:v>2</x:v>
      </x:c>
      <x:c r="J171" s="48" t="str">
        <x:v>deep_processing</x:v>
      </x:c>
      <x:c r="K171" s="48" t="str">
        <x:v>深加工</x:v>
      </x:c>
      <x:c r="L171" s="55" t="n">
        <x:v>88506.83350606375</x:v>
      </x:c>
      <x:c r="M171" s="54" t="n">
        <x:v>0.02476587535483139</x:v>
      </x:c>
      <x:c r="N171" s="54" t="n">
        <x:v>0.580378740612527</x:v>
      </x:c>
      <x:c r="O171" s="55" t="n">
        <x:v>308935.8438390641</x:v>
      </x:c>
      <x:c r="P171" s="55" t="n">
        <x:v>447028.24211097317</x:v>
      </x:c>
      <x:c r="Q171" s="55" t="n">
        <x:v>439943.44747418456</x:v>
      </x:c>
      <x:c r="R171" s="54" t="n">
        <x:v>0.82</x:v>
      </x:c>
      <x:c r="S171" s="54" t="n">
        <x:v>0.95</x:v>
      </x:c>
      <x:c r="T171" s="54" t="n">
        <x:v>0.36</x:v>
      </x:c>
      <x:c r="U171" s="54" t="n">
        <x:v>0.31</x:v>
      </x:c>
      <x:c r="V171" s="54" t="n">
        <x:v>1</x:v>
      </x:c>
      <x:c r="W171" s="53" t="str">
        <x:v>calibrated reconstruction; not historical author input</x:v>
      </x:c>
    </x:row>
    <x:row r="172" ht="28" hidden="0" customHeight="1">
      <x:c r="A172" s="48" t="str">
        <x:v>x_r22_s2_m1</x:v>
      </x:c>
      <x:c r="B172" s="48" t="str">
        <x:v>r22</x:v>
      </x:c>
      <x:c r="C172" s="48" t="str">
        <x:v>CN-CQ</x:v>
      </x:c>
      <x:c r="D172" s="48" t="str">
        <x:v>Chongqing</x:v>
      </x:c>
      <x:c r="E172" s="48" t="str">
        <x:v>重庆</x:v>
      </x:c>
      <x:c r="F172" s="48" t="n">
        <x:v>2</x:v>
      </x:c>
      <x:c r="G172" s="48" t="str">
        <x:v>freshwater_capture</x:v>
      </x:c>
      <x:c r="H172" s="48" t="str">
        <x:v>淡水捕捞</x:v>
      </x:c>
      <x:c r="I172" s="48" t="n">
        <x:v>1</x:v>
      </x:c>
      <x:c r="J172" s="48" t="str">
        <x:v>fresh_sales</x:v>
      </x:c>
      <x:c r="K172" s="48" t="str">
        <x:v>鲜销</x:v>
      </x:c>
      <x:c r="L172" s="55" t="n">
        <x:v>71503.37015149379</x:v>
      </x:c>
      <x:c r="M172" s="54" t="n">
        <x:v>0.02476587535483139</x:v>
      </x:c>
      <x:c r="N172" s="54" t="n">
        <x:v>0.580378740612527</x:v>
      </x:c>
      <x:c r="O172" s="55" t="n">
        <x:v>308935.8438390641</x:v>
      </x:c>
      <x:c r="P172" s="55" t="n">
        <x:v>447028.24211097317</x:v>
      </x:c>
      <x:c r="Q172" s="55" t="n">
        <x:v>439943.44747418456</x:v>
      </x:c>
      <x:c r="R172" s="54" t="n">
        <x:v>0.7</x:v>
      </x:c>
      <x:c r="S172" s="54" t="n">
        <x:v>0.67</x:v>
      </x:c>
      <x:c r="T172" s="54" t="n">
        <x:v>0.26</x:v>
      </x:c>
      <x:c r="U172" s="54" t="n">
        <x:v>0.42</x:v>
      </x:c>
      <x:c r="V172" s="54" t="n">
        <x:v>0.7</x:v>
      </x:c>
      <x:c r="W172" s="53" t="str">
        <x:v>calibrated reconstruction; not historical author input</x:v>
      </x:c>
    </x:row>
    <x:row r="173" ht="28" hidden="0" customHeight="1">
      <x:c r="A173" s="48" t="str">
        <x:v>x_r22_s2_m2</x:v>
      </x:c>
      <x:c r="B173" s="48" t="str">
        <x:v>r22</x:v>
      </x:c>
      <x:c r="C173" s="48" t="str">
        <x:v>CN-CQ</x:v>
      </x:c>
      <x:c r="D173" s="48" t="str">
        <x:v>Chongqing</x:v>
      </x:c>
      <x:c r="E173" s="48" t="str">
        <x:v>重庆</x:v>
      </x:c>
      <x:c r="F173" s="48" t="n">
        <x:v>2</x:v>
      </x:c>
      <x:c r="G173" s="48" t="str">
        <x:v>freshwater_capture</x:v>
      </x:c>
      <x:c r="H173" s="48" t="str">
        <x:v>淡水捕捞</x:v>
      </x:c>
      <x:c r="I173" s="48" t="n">
        <x:v>2</x:v>
      </x:c>
      <x:c r="J173" s="48" t="str">
        <x:v>deep_processing</x:v>
      </x:c>
      <x:c r="K173" s="48" t="str">
        <x:v>深加工</x:v>
      </x:c>
      <x:c r="L173" s="55" t="n">
        <x:v>32124.702531830546</x:v>
      </x:c>
      <x:c r="M173" s="54" t="n">
        <x:v>0.02476587535483139</x:v>
      </x:c>
      <x:c r="N173" s="54" t="n">
        <x:v>0.580378740612527</x:v>
      </x:c>
      <x:c r="O173" s="55" t="n">
        <x:v>308935.8438390641</x:v>
      </x:c>
      <x:c r="P173" s="55" t="n">
        <x:v>447028.24211097317</x:v>
      </x:c>
      <x:c r="Q173" s="55" t="n">
        <x:v>439943.44747418456</x:v>
      </x:c>
      <x:c r="R173" s="54" t="n">
        <x:v>0.86</x:v>
      </x:c>
      <x:c r="S173" s="54" t="n">
        <x:v>0.99</x:v>
      </x:c>
      <x:c r="T173" s="54" t="n">
        <x:v>0.34</x:v>
      </x:c>
      <x:c r="U173" s="54" t="n">
        <x:v>0.45</x:v>
      </x:c>
      <x:c r="V173" s="54" t="n">
        <x:v>0.7</x:v>
      </x:c>
      <x:c r="W173" s="53" t="str">
        <x:v>calibrated reconstruction; not historical author input</x:v>
      </x:c>
    </x:row>
    <x:row r="174" ht="28" hidden="0" customHeight="1">
      <x:c r="A174" s="48" t="str">
        <x:v>x_r22_s3_m1</x:v>
      </x:c>
      <x:c r="B174" s="48" t="str">
        <x:v>r22</x:v>
      </x:c>
      <x:c r="C174" s="48" t="str">
        <x:v>CN-CQ</x:v>
      </x:c>
      <x:c r="D174" s="48" t="str">
        <x:v>Chongqing</x:v>
      </x:c>
      <x:c r="E174" s="48" t="str">
        <x:v>重庆</x:v>
      </x:c>
      <x:c r="F174" s="48" t="n">
        <x:v>3</x:v>
      </x:c>
      <x:c r="G174" s="48" t="str">
        <x:v>marine_aquaculture</x:v>
      </x:c>
      <x:c r="H174" s="48" t="str">
        <x:v>海水养殖</x:v>
      </x:c>
      <x:c r="I174" s="48" t="n">
        <x:v>1</x:v>
      </x:c>
      <x:c r="J174" s="48" t="str">
        <x:v>fresh_sales</x:v>
      </x:c>
      <x:c r="K174" s="48" t="str">
        <x:v>鲜销</x:v>
      </x:c>
      <x:c r="L174" s="55" t="n">
        <x:v>491768.0763480287</x:v>
      </x:c>
      <x:c r="M174" s="54" t="n">
        <x:v>0.02476587535483139</x:v>
      </x:c>
      <x:c r="N174" s="54" t="n">
        <x:v>0.580378740612527</x:v>
      </x:c>
      <x:c r="O174" s="55" t="n">
        <x:v>308935.8438390641</x:v>
      </x:c>
      <x:c r="P174" s="55" t="n">
        <x:v>447028.24211097317</x:v>
      </x:c>
      <x:c r="Q174" s="55" t="n">
        <x:v>439943.44747418456</x:v>
      </x:c>
      <x:c r="R174" s="54" t="n">
        <x:v>0.84</x:v>
      </x:c>
      <x:c r="S174" s="54" t="n">
        <x:v>0.8</x:v>
      </x:c>
      <x:c r="T174" s="54" t="n">
        <x:v>0.33</x:v>
      </x:c>
      <x:c r="U174" s="54" t="n">
        <x:v>0.78</x:v>
      </x:c>
      <x:c r="V174" s="54" t="n">
        <x:v>0.11</x:v>
      </x:c>
      <x:c r="W174" s="53" t="str">
        <x:v>calibrated reconstruction; not historical author input</x:v>
      </x:c>
    </x:row>
    <x:row r="175" ht="28" hidden="0" customHeight="1">
      <x:c r="A175" s="48" t="str">
        <x:v>x_r22_s3_m2</x:v>
      </x:c>
      <x:c r="B175" s="48" t="str">
        <x:v>r22</x:v>
      </x:c>
      <x:c r="C175" s="48" t="str">
        <x:v>CN-CQ</x:v>
      </x:c>
      <x:c r="D175" s="48" t="str">
        <x:v>Chongqing</x:v>
      </x:c>
      <x:c r="E175" s="48" t="str">
        <x:v>重庆</x:v>
      </x:c>
      <x:c r="F175" s="48" t="n">
        <x:v>3</x:v>
      </x:c>
      <x:c r="G175" s="48" t="str">
        <x:v>marine_aquaculture</x:v>
      </x:c>
      <x:c r="H175" s="48" t="str">
        <x:v>海水养殖</x:v>
      </x:c>
      <x:c r="I175" s="48" t="n">
        <x:v>2</x:v>
      </x:c>
      <x:c r="J175" s="48" t="str">
        <x:v>deep_processing</x:v>
      </x:c>
      <x:c r="K175" s="48" t="str">
        <x:v>深加工</x:v>
      </x:c>
      <x:c r="L175" s="55" t="n">
        <x:v>220939.2806780999</x:v>
      </x:c>
      <x:c r="M175" s="54" t="n">
        <x:v>0.02476587535483139</x:v>
      </x:c>
      <x:c r="N175" s="54" t="n">
        <x:v>0.580378740612527</x:v>
      </x:c>
      <x:c r="O175" s="55" t="n">
        <x:v>308935.8438390641</x:v>
      </x:c>
      <x:c r="P175" s="55" t="n">
        <x:v>447028.24211097317</x:v>
      </x:c>
      <x:c r="Q175" s="55" t="n">
        <x:v>439943.44747418456</x:v>
      </x:c>
      <x:c r="R175" s="54" t="n">
        <x:v>1.02</x:v>
      </x:c>
      <x:c r="S175" s="54" t="n">
        <x:v>1.16</x:v>
      </x:c>
      <x:c r="T175" s="54" t="n">
        <x:v>0.41</x:v>
      </x:c>
      <x:c r="U175" s="54" t="n">
        <x:v>0.81</x:v>
      </x:c>
      <x:c r="V175" s="54" t="n">
        <x:v>0.11</x:v>
      </x:c>
      <x:c r="W175" s="53" t="str">
        <x:v>calibrated reconstruction; not historical author input</x:v>
      </x:c>
    </x:row>
    <x:row r="176" ht="28" hidden="0" customHeight="1">
      <x:c r="A176" s="48" t="str">
        <x:v>x_r22_s4_m1</x:v>
      </x:c>
      <x:c r="B176" s="48" t="str">
        <x:v>r22</x:v>
      </x:c>
      <x:c r="C176" s="48" t="str">
        <x:v>CN-CQ</x:v>
      </x:c>
      <x:c r="D176" s="48" t="str">
        <x:v>Chongqing</x:v>
      </x:c>
      <x:c r="E176" s="48" t="str">
        <x:v>重庆</x:v>
      </x:c>
      <x:c r="F176" s="48" t="n">
        <x:v>4</x:v>
      </x:c>
      <x:c r="G176" s="48" t="str">
        <x:v>freshwater_aquaculture</x:v>
      </x:c>
      <x:c r="H176" s="48" t="str">
        <x:v>淡水养殖</x:v>
      </x:c>
      <x:c r="I176" s="48" t="n">
        <x:v>1</x:v>
      </x:c>
      <x:c r="J176" s="48" t="str">
        <x:v>fresh_sales</x:v>
      </x:c>
      <x:c r="K176" s="48" t="str">
        <x:v>鲜销</x:v>
      </x:c>
      <x:c r="L176" s="55" t="n">
        <x:v>698981.9245421535</x:v>
      </x:c>
      <x:c r="M176" s="54" t="n">
        <x:v>0.02476587535483139</x:v>
      </x:c>
      <x:c r="N176" s="54" t="n">
        <x:v>0.580378740612527</x:v>
      </x:c>
      <x:c r="O176" s="55" t="n">
        <x:v>308935.8438390641</x:v>
      </x:c>
      <x:c r="P176" s="55" t="n">
        <x:v>447028.24211097317</x:v>
      </x:c>
      <x:c r="Q176" s="55" t="n">
        <x:v>439943.44747418456</x:v>
      </x:c>
      <x:c r="R176" s="54" t="n">
        <x:v>0.88</x:v>
      </x:c>
      <x:c r="S176" s="54" t="n">
        <x:v>0.84</x:v>
      </x:c>
      <x:c r="T176" s="54" t="n">
        <x:v>0.31</x:v>
      </x:c>
      <x:c r="U176" s="54" t="n">
        <x:v>0.88</x:v>
      </x:c>
      <x:c r="V176" s="54" t="n">
        <x:v>0.08</x:v>
      </x:c>
      <x:c r="W176" s="53" t="str">
        <x:v>calibrated reconstruction; not historical author input</x:v>
      </x:c>
    </x:row>
    <x:row r="177" ht="28" hidden="0" customHeight="1">
      <x:c r="A177" s="48" t="str">
        <x:v>x_r22_s4_m2</x:v>
      </x:c>
      <x:c r="B177" s="48" t="str">
        <x:v>r22</x:v>
      </x:c>
      <x:c r="C177" s="48" t="str">
        <x:v>CN-CQ</x:v>
      </x:c>
      <x:c r="D177" s="48" t="str">
        <x:v>Chongqing</x:v>
      </x:c>
      <x:c r="E177" s="48" t="str">
        <x:v>重庆</x:v>
      </x:c>
      <x:c r="F177" s="48" t="n">
        <x:v>4</x:v>
      </x:c>
      <x:c r="G177" s="48" t="str">
        <x:v>freshwater_aquaculture</x:v>
      </x:c>
      <x:c r="H177" s="48" t="str">
        <x:v>淡水养殖</x:v>
      </x:c>
      <x:c r="I177" s="48" t="n">
        <x:v>2</x:v>
      </x:c>
      <x:c r="J177" s="48" t="str">
        <x:v>deep_processing</x:v>
      </x:c>
      <x:c r="K177" s="48" t="str">
        <x:v>深加工</x:v>
      </x:c>
      <x:c r="L177" s="55" t="n">
        <x:v>314035.3574029965</x:v>
      </x:c>
      <x:c r="M177" s="54" t="n">
        <x:v>0.02476587535483139</x:v>
      </x:c>
      <x:c r="N177" s="54" t="n">
        <x:v>0.580378740612527</x:v>
      </x:c>
      <x:c r="O177" s="55" t="n">
        <x:v>308935.8438390641</x:v>
      </x:c>
      <x:c r="P177" s="55" t="n">
        <x:v>447028.24211097317</x:v>
      </x:c>
      <x:c r="Q177" s="55" t="n">
        <x:v>439943.44747418456</x:v>
      </x:c>
      <x:c r="R177" s="54" t="n">
        <x:v>1.06</x:v>
      </x:c>
      <x:c r="S177" s="54" t="n">
        <x:v>1.2</x:v>
      </x:c>
      <x:c r="T177" s="54" t="n">
        <x:v>0.39</x:v>
      </x:c>
      <x:c r="U177" s="54" t="n">
        <x:v>0.91</x:v>
      </x:c>
      <x:c r="V177" s="54" t="n">
        <x:v>0.08</x:v>
      </x:c>
      <x:c r="W177" s="53" t="str">
        <x:v>calibrated reconstruction; not historical author input</x:v>
      </x:c>
    </x:row>
    <x:row r="178" ht="28" hidden="0" customHeight="1">
      <x:c r="A178" s="48" t="str">
        <x:v>x_r23_s1_m1</x:v>
      </x:c>
      <x:c r="B178" s="48" t="str">
        <x:v>r23</x:v>
      </x:c>
      <x:c r="C178" s="48" t="str">
        <x:v>CN-SC</x:v>
      </x:c>
      <x:c r="D178" s="48" t="str">
        <x:v>Sichuan</x:v>
      </x:c>
      <x:c r="E178" s="48" t="str">
        <x:v>四川</x:v>
      </x:c>
      <x:c r="F178" s="48" t="n">
        <x:v>1</x:v>
      </x:c>
      <x:c r="G178" s="48" t="str">
        <x:v>marine_capture</x:v>
      </x:c>
      <x:c r="H178" s="48" t="str">
        <x:v>海洋捕捞</x:v>
      </x:c>
      <x:c r="I178" s="48" t="n">
        <x:v>1</x:v>
      </x:c>
      <x:c r="J178" s="48" t="str">
        <x:v>fresh_sales</x:v>
      </x:c>
      <x:c r="K178" s="48" t="str">
        <x:v>鲜销</x:v>
      </x:c>
      <x:c r="L178" s="55" t="n">
        <x:v>181958.44294595497</x:v>
      </x:c>
      <x:c r="M178" s="54" t="n">
        <x:v>0.022875031163627758</x:v>
      </x:c>
      <x:c r="N178" s="54" t="n">
        <x:v>0.5056218533497261</x:v>
      </x:c>
      <x:c r="O178" s="55" t="n">
        <x:v>239682.84792080175</x:v>
      </x:c>
      <x:c r="P178" s="55" t="n">
        <x:v>397678.00690371083</x:v>
      </x:c>
      <x:c r="Q178" s="55" t="n">
        <x:v>410987.0035460712</x:v>
      </x:c>
      <x:c r="R178" s="54" t="n">
        <x:v>0.65</x:v>
      </x:c>
      <x:c r="S178" s="54" t="n">
        <x:v>0.62</x:v>
      </x:c>
      <x:c r="T178" s="54" t="n">
        <x:v>0.29</x:v>
      </x:c>
      <x:c r="U178" s="54" t="n">
        <x:v>0.28</x:v>
      </x:c>
      <x:c r="V178" s="54" t="n">
        <x:v>1</x:v>
      </x:c>
      <x:c r="W178" s="53" t="str">
        <x:v>calibrated reconstruction; not historical author input</x:v>
      </x:c>
    </x:row>
    <x:row r="179" ht="28" hidden="0" customHeight="1">
      <x:c r="A179" s="48" t="str">
        <x:v>x_r23_s1_m2</x:v>
      </x:c>
      <x:c r="B179" s="48" t="str">
        <x:v>r23</x:v>
      </x:c>
      <x:c r="C179" s="48" t="str">
        <x:v>CN-SC</x:v>
      </x:c>
      <x:c r="D179" s="48" t="str">
        <x:v>Sichuan</x:v>
      </x:c>
      <x:c r="E179" s="48" t="str">
        <x:v>四川</x:v>
      </x:c>
      <x:c r="F179" s="48" t="n">
        <x:v>1</x:v>
      </x:c>
      <x:c r="G179" s="48" t="str">
        <x:v>marine_capture</x:v>
      </x:c>
      <x:c r="H179" s="48" t="str">
        <x:v>海洋捕捞</x:v>
      </x:c>
      <x:c r="I179" s="48" t="n">
        <x:v>2</x:v>
      </x:c>
      <x:c r="J179" s="48" t="str">
        <x:v>deep_processing</x:v>
      </x:c>
      <x:c r="K179" s="48" t="str">
        <x:v>深加工</x:v>
      </x:c>
      <x:c r="L179" s="55" t="n">
        <x:v>81749.44538151601</x:v>
      </x:c>
      <x:c r="M179" s="54" t="n">
        <x:v>0.022875031163627758</x:v>
      </x:c>
      <x:c r="N179" s="54" t="n">
        <x:v>0.5056218533497261</x:v>
      </x:c>
      <x:c r="O179" s="55" t="n">
        <x:v>239682.84792080175</x:v>
      </x:c>
      <x:c r="P179" s="55" t="n">
        <x:v>397678.00690371083</x:v>
      </x:c>
      <x:c r="Q179" s="55" t="n">
        <x:v>410987.0035460712</x:v>
      </x:c>
      <x:c r="R179" s="54" t="n">
        <x:v>0.82</x:v>
      </x:c>
      <x:c r="S179" s="54" t="n">
        <x:v>0.95</x:v>
      </x:c>
      <x:c r="T179" s="54" t="n">
        <x:v>0.36</x:v>
      </x:c>
      <x:c r="U179" s="54" t="n">
        <x:v>0.31</x:v>
      </x:c>
      <x:c r="V179" s="54" t="n">
        <x:v>1</x:v>
      </x:c>
      <x:c r="W179" s="53" t="str">
        <x:v>calibrated reconstruction; not historical author input</x:v>
      </x:c>
    </x:row>
    <x:row r="180" ht="28" hidden="0" customHeight="1">
      <x:c r="A180" s="48" t="str">
        <x:v>x_r23_s2_m1</x:v>
      </x:c>
      <x:c r="B180" s="48" t="str">
        <x:v>r23</x:v>
      </x:c>
      <x:c r="C180" s="48" t="str">
        <x:v>CN-SC</x:v>
      </x:c>
      <x:c r="D180" s="48" t="str">
        <x:v>Sichuan</x:v>
      </x:c>
      <x:c r="E180" s="48" t="str">
        <x:v>四川</x:v>
      </x:c>
      <x:c r="F180" s="48" t="n">
        <x:v>2</x:v>
      </x:c>
      <x:c r="G180" s="48" t="str">
        <x:v>freshwater_capture</x:v>
      </x:c>
      <x:c r="H180" s="48" t="str">
        <x:v>淡水捕捞</x:v>
      </x:c>
      <x:c r="I180" s="48" t="n">
        <x:v>1</x:v>
      </x:c>
      <x:c r="J180" s="48" t="str">
        <x:v>fresh_sales</x:v>
      </x:c>
      <x:c r="K180" s="48" t="str">
        <x:v>鲜销</x:v>
      </x:c>
      <x:c r="L180" s="55" t="n">
        <x:v>66044.17558779106</x:v>
      </x:c>
      <x:c r="M180" s="54" t="n">
        <x:v>0.022875031163627758</x:v>
      </x:c>
      <x:c r="N180" s="54" t="n">
        <x:v>0.5056218533497261</x:v>
      </x:c>
      <x:c r="O180" s="55" t="n">
        <x:v>239682.84792080175</x:v>
      </x:c>
      <x:c r="P180" s="55" t="n">
        <x:v>397678.00690371083</x:v>
      </x:c>
      <x:c r="Q180" s="55" t="n">
        <x:v>410987.0035460712</x:v>
      </x:c>
      <x:c r="R180" s="54" t="n">
        <x:v>0.7</x:v>
      </x:c>
      <x:c r="S180" s="54" t="n">
        <x:v>0.67</x:v>
      </x:c>
      <x:c r="T180" s="54" t="n">
        <x:v>0.26</x:v>
      </x:c>
      <x:c r="U180" s="54" t="n">
        <x:v>0.42</x:v>
      </x:c>
      <x:c r="V180" s="54" t="n">
        <x:v>0.7</x:v>
      </x:c>
      <x:c r="W180" s="53" t="str">
        <x:v>calibrated reconstruction; not historical author input</x:v>
      </x:c>
    </x:row>
    <x:row r="181" ht="28" hidden="0" customHeight="1">
      <x:c r="A181" s="48" t="str">
        <x:v>x_r23_s2_m2</x:v>
      </x:c>
      <x:c r="B181" s="48" t="str">
        <x:v>r23</x:v>
      </x:c>
      <x:c r="C181" s="48" t="str">
        <x:v>CN-SC</x:v>
      </x:c>
      <x:c r="D181" s="48" t="str">
        <x:v>Sichuan</x:v>
      </x:c>
      <x:c r="E181" s="48" t="str">
        <x:v>四川</x:v>
      </x:c>
      <x:c r="F181" s="48" t="n">
        <x:v>2</x:v>
      </x:c>
      <x:c r="G181" s="48" t="str">
        <x:v>freshwater_capture</x:v>
      </x:c>
      <x:c r="H181" s="48" t="str">
        <x:v>淡水捕捞</x:v>
      </x:c>
      <x:c r="I181" s="48" t="n">
        <x:v>2</x:v>
      </x:c>
      <x:c r="J181" s="48" t="str">
        <x:v>deep_processing</x:v>
      </x:c>
      <x:c r="K181" s="48" t="str">
        <x:v>深加工</x:v>
      </x:c>
      <x:c r="L181" s="55" t="n">
        <x:v>29672.020916253954</x:v>
      </x:c>
      <x:c r="M181" s="54" t="n">
        <x:v>0.022875031163627758</x:v>
      </x:c>
      <x:c r="N181" s="54" t="n">
        <x:v>0.5056218533497261</x:v>
      </x:c>
      <x:c r="O181" s="55" t="n">
        <x:v>239682.84792080175</x:v>
      </x:c>
      <x:c r="P181" s="55" t="n">
        <x:v>397678.00690371083</x:v>
      </x:c>
      <x:c r="Q181" s="55" t="n">
        <x:v>410987.0035460712</x:v>
      </x:c>
      <x:c r="R181" s="54" t="n">
        <x:v>0.86</x:v>
      </x:c>
      <x:c r="S181" s="54" t="n">
        <x:v>0.99</x:v>
      </x:c>
      <x:c r="T181" s="54" t="n">
        <x:v>0.34</x:v>
      </x:c>
      <x:c r="U181" s="54" t="n">
        <x:v>0.45</x:v>
      </x:c>
      <x:c r="V181" s="54" t="n">
        <x:v>0.7</x:v>
      </x:c>
      <x:c r="W181" s="53" t="str">
        <x:v>calibrated reconstruction; not historical author input</x:v>
      </x:c>
    </x:row>
    <x:row r="182" ht="28" hidden="0" customHeight="1">
      <x:c r="A182" s="48" t="str">
        <x:v>x_r23_s3_m1</x:v>
      </x:c>
      <x:c r="B182" s="48" t="str">
        <x:v>r23</x:v>
      </x:c>
      <x:c r="C182" s="48" t="str">
        <x:v>CN-SC</x:v>
      </x:c>
      <x:c r="D182" s="48" t="str">
        <x:v>Sichuan</x:v>
      </x:c>
      <x:c r="E182" s="48" t="str">
        <x:v>四川</x:v>
      </x:c>
      <x:c r="F182" s="48" t="n">
        <x:v>3</x:v>
      </x:c>
      <x:c r="G182" s="48" t="str">
        <x:v>marine_aquaculture</x:v>
      </x:c>
      <x:c r="H182" s="48" t="str">
        <x:v>海水养殖</x:v>
      </x:c>
      <x:c r="I182" s="48" t="n">
        <x:v>1</x:v>
      </x:c>
      <x:c r="J182" s="48" t="str">
        <x:v>fresh_sales</x:v>
      </x:c>
      <x:c r="K182" s="48" t="str">
        <x:v>鲜销</x:v>
      </x:c>
      <x:c r="L182" s="55" t="n">
        <x:v>454222.18720582826</x:v>
      </x:c>
      <x:c r="M182" s="54" t="n">
        <x:v>0.022875031163627758</x:v>
      </x:c>
      <x:c r="N182" s="54" t="n">
        <x:v>0.5056218533497261</x:v>
      </x:c>
      <x:c r="O182" s="55" t="n">
        <x:v>239682.84792080175</x:v>
      </x:c>
      <x:c r="P182" s="55" t="n">
        <x:v>397678.00690371083</x:v>
      </x:c>
      <x:c r="Q182" s="55" t="n">
        <x:v>410987.0035460712</x:v>
      </x:c>
      <x:c r="R182" s="54" t="n">
        <x:v>0.84</x:v>
      </x:c>
      <x:c r="S182" s="54" t="n">
        <x:v>0.8</x:v>
      </x:c>
      <x:c r="T182" s="54" t="n">
        <x:v>0.33</x:v>
      </x:c>
      <x:c r="U182" s="54" t="n">
        <x:v>0.78</x:v>
      </x:c>
      <x:c r="V182" s="54" t="n">
        <x:v>0.11</x:v>
      </x:c>
      <x:c r="W182" s="53" t="str">
        <x:v>calibrated reconstruction; not historical author input</x:v>
      </x:c>
    </x:row>
    <x:row r="183" ht="28" hidden="0" customHeight="1">
      <x:c r="A183" s="48" t="str">
        <x:v>x_r23_s3_m2</x:v>
      </x:c>
      <x:c r="B183" s="48" t="str">
        <x:v>r23</x:v>
      </x:c>
      <x:c r="C183" s="48" t="str">
        <x:v>CN-SC</x:v>
      </x:c>
      <x:c r="D183" s="48" t="str">
        <x:v>Sichuan</x:v>
      </x:c>
      <x:c r="E183" s="48" t="str">
        <x:v>四川</x:v>
      </x:c>
      <x:c r="F183" s="48" t="n">
        <x:v>3</x:v>
      </x:c>
      <x:c r="G183" s="48" t="str">
        <x:v>marine_aquaculture</x:v>
      </x:c>
      <x:c r="H183" s="48" t="str">
        <x:v>海水养殖</x:v>
      </x:c>
      <x:c r="I183" s="48" t="n">
        <x:v>2</x:v>
      </x:c>
      <x:c r="J183" s="48" t="str">
        <x:v>deep_processing</x:v>
      </x:c>
      <x:c r="K183" s="48" t="str">
        <x:v>深加工</x:v>
      </x:c>
      <x:c r="L183" s="55" t="n">
        <x:v>204070.83773015474</x:v>
      </x:c>
      <x:c r="M183" s="54" t="n">
        <x:v>0.022875031163627758</x:v>
      </x:c>
      <x:c r="N183" s="54" t="n">
        <x:v>0.5056218533497261</x:v>
      </x:c>
      <x:c r="O183" s="55" t="n">
        <x:v>239682.84792080175</x:v>
      </x:c>
      <x:c r="P183" s="55" t="n">
        <x:v>397678.00690371083</x:v>
      </x:c>
      <x:c r="Q183" s="55" t="n">
        <x:v>410987.0035460712</x:v>
      </x:c>
      <x:c r="R183" s="54" t="n">
        <x:v>1.02</x:v>
      </x:c>
      <x:c r="S183" s="54" t="n">
        <x:v>1.16</x:v>
      </x:c>
      <x:c r="T183" s="54" t="n">
        <x:v>0.41</x:v>
      </x:c>
      <x:c r="U183" s="54" t="n">
        <x:v>0.81</x:v>
      </x:c>
      <x:c r="V183" s="54" t="n">
        <x:v>0.11</x:v>
      </x:c>
      <x:c r="W183" s="53" t="str">
        <x:v>calibrated reconstruction; not historical author input</x:v>
      </x:c>
    </x:row>
    <x:row r="184" ht="28" hidden="0" customHeight="1">
      <x:c r="A184" s="48" t="str">
        <x:v>x_r23_s4_m1</x:v>
      </x:c>
      <x:c r="B184" s="48" t="str">
        <x:v>r23</x:v>
      </x:c>
      <x:c r="C184" s="48" t="str">
        <x:v>CN-SC</x:v>
      </x:c>
      <x:c r="D184" s="48" t="str">
        <x:v>Sichuan</x:v>
      </x:c>
      <x:c r="E184" s="48" t="str">
        <x:v>四川</x:v>
      </x:c>
      <x:c r="F184" s="48" t="n">
        <x:v>4</x:v>
      </x:c>
      <x:c r="G184" s="48" t="str">
        <x:v>freshwater_aquaculture</x:v>
      </x:c>
      <x:c r="H184" s="48" t="str">
        <x:v>淡水养殖</x:v>
      </x:c>
      <x:c r="I184" s="48" t="n">
        <x:v>1</x:v>
      </x:c>
      <x:c r="J184" s="48" t="str">
        <x:v>fresh_sales</x:v>
      </x:c>
      <x:c r="K184" s="48" t="str">
        <x:v>鲜销</x:v>
      </x:c>
      <x:c r="L184" s="55" t="n">
        <x:v>645615.5123786104</x:v>
      </x:c>
      <x:c r="M184" s="54" t="n">
        <x:v>0.022875031163627758</x:v>
      </x:c>
      <x:c r="N184" s="54" t="n">
        <x:v>0.5056218533497261</x:v>
      </x:c>
      <x:c r="O184" s="55" t="n">
        <x:v>239682.84792080175</x:v>
      </x:c>
      <x:c r="P184" s="55" t="n">
        <x:v>397678.00690371083</x:v>
      </x:c>
      <x:c r="Q184" s="55" t="n">
        <x:v>410987.0035460712</x:v>
      </x:c>
      <x:c r="R184" s="54" t="n">
        <x:v>0.88</x:v>
      </x:c>
      <x:c r="S184" s="54" t="n">
        <x:v>0.84</x:v>
      </x:c>
      <x:c r="T184" s="54" t="n">
        <x:v>0.31</x:v>
      </x:c>
      <x:c r="U184" s="54" t="n">
        <x:v>0.88</x:v>
      </x:c>
      <x:c r="V184" s="54" t="n">
        <x:v>0.08</x:v>
      </x:c>
      <x:c r="W184" s="53" t="str">
        <x:v>calibrated reconstruction; not historical author input</x:v>
      </x:c>
    </x:row>
    <x:row r="185" ht="28" hidden="0" customHeight="1">
      <x:c r="A185" s="48" t="str">
        <x:v>x_r23_s4_m2</x:v>
      </x:c>
      <x:c r="B185" s="48" t="str">
        <x:v>r23</x:v>
      </x:c>
      <x:c r="C185" s="48" t="str">
        <x:v>CN-SC</x:v>
      </x:c>
      <x:c r="D185" s="48" t="str">
        <x:v>Sichuan</x:v>
      </x:c>
      <x:c r="E185" s="48" t="str">
        <x:v>四川</x:v>
      </x:c>
      <x:c r="F185" s="48" t="n">
        <x:v>4</x:v>
      </x:c>
      <x:c r="G185" s="48" t="str">
        <x:v>freshwater_aquaculture</x:v>
      </x:c>
      <x:c r="H185" s="48" t="str">
        <x:v>淡水养殖</x:v>
      </x:c>
      <x:c r="I185" s="48" t="n">
        <x:v>2</x:v>
      </x:c>
      <x:c r="J185" s="48" t="str">
        <x:v>deep_processing</x:v>
      </x:c>
      <x:c r="K185" s="48" t="str">
        <x:v>深加工</x:v>
      </x:c>
      <x:c r="L185" s="55" t="n">
        <x:v>290059.1432425641</x:v>
      </x:c>
      <x:c r="M185" s="54" t="n">
        <x:v>0.022875031163627758</x:v>
      </x:c>
      <x:c r="N185" s="54" t="n">
        <x:v>0.5056218533497261</x:v>
      </x:c>
      <x:c r="O185" s="55" t="n">
        <x:v>239682.84792080175</x:v>
      </x:c>
      <x:c r="P185" s="55" t="n">
        <x:v>397678.00690371083</x:v>
      </x:c>
      <x:c r="Q185" s="55" t="n">
        <x:v>410987.0035460712</x:v>
      </x:c>
      <x:c r="R185" s="54" t="n">
        <x:v>1.06</x:v>
      </x:c>
      <x:c r="S185" s="54" t="n">
        <x:v>1.2</x:v>
      </x:c>
      <x:c r="T185" s="54" t="n">
        <x:v>0.39</x:v>
      </x:c>
      <x:c r="U185" s="54" t="n">
        <x:v>0.91</x:v>
      </x:c>
      <x:c r="V185" s="54" t="n">
        <x:v>0.08</x:v>
      </x:c>
      <x:c r="W185" s="53" t="str">
        <x:v>calibrated reconstruction; not historical author input</x:v>
      </x:c>
    </x:row>
    <x:row r="186" ht="28" hidden="0" customHeight="1">
      <x:c r="A186" s="48" t="str">
        <x:v>x_r24_s1_m1</x:v>
      </x:c>
      <x:c r="B186" s="48" t="str">
        <x:v>r24</x:v>
      </x:c>
      <x:c r="C186" s="48" t="str">
        <x:v>CN-GZ</x:v>
      </x:c>
      <x:c r="D186" s="48" t="str">
        <x:v>Guizhou</x:v>
      </x:c>
      <x:c r="E186" s="48" t="str">
        <x:v>贵州</x:v>
      </x:c>
      <x:c r="F186" s="48" t="n">
        <x:v>1</x:v>
      </x:c>
      <x:c r="G186" s="48" t="str">
        <x:v>marine_capture</x:v>
      </x:c>
      <x:c r="H186" s="48" t="str">
        <x:v>海洋捕捞</x:v>
      </x:c>
      <x:c r="I186" s="48" t="n">
        <x:v>1</x:v>
      </x:c>
      <x:c r="J186" s="48" t="str">
        <x:v>fresh_sales</x:v>
      </x:c>
      <x:c r="K186" s="48" t="str">
        <x:v>鲜销</x:v>
      </x:c>
      <x:c r="L186" s="55" t="n">
        <x:v>216387.4008336516</x:v>
      </x:c>
      <x:c r="M186" s="54" t="n">
        <x:v>0.027203291352390798</x:v>
      </x:c>
      <x:c r="N186" s="54" t="n">
        <x:v>0.6222092256941605</x:v>
      </x:c>
      <x:c r="O186" s="55" t="n">
        <x:v>360279.36375331465</x:v>
      </x:c>
      <x:c r="P186" s="55" t="n">
        <x:v>454823.938324087</x:v>
      </x:c>
      <x:c r="Q186" s="55" t="n">
        <x:v>539660.9705568755</x:v>
      </x:c>
      <x:c r="R186" s="54" t="n">
        <x:v>0.65</x:v>
      </x:c>
      <x:c r="S186" s="54" t="n">
        <x:v>0.62</x:v>
      </x:c>
      <x:c r="T186" s="54" t="n">
        <x:v>0.29</x:v>
      </x:c>
      <x:c r="U186" s="54" t="n">
        <x:v>0.28</x:v>
      </x:c>
      <x:c r="V186" s="54" t="n">
        <x:v>1</x:v>
      </x:c>
      <x:c r="W186" s="53" t="str">
        <x:v>calibrated reconstruction; not historical author input</x:v>
      </x:c>
    </x:row>
    <x:row r="187" ht="28" hidden="0" customHeight="1">
      <x:c r="A187" s="48" t="str">
        <x:v>x_r24_s1_m2</x:v>
      </x:c>
      <x:c r="B187" s="48" t="str">
        <x:v>r24</x:v>
      </x:c>
      <x:c r="C187" s="48" t="str">
        <x:v>CN-GZ</x:v>
      </x:c>
      <x:c r="D187" s="48" t="str">
        <x:v>Guizhou</x:v>
      </x:c>
      <x:c r="E187" s="48" t="str">
        <x:v>贵州</x:v>
      </x:c>
      <x:c r="F187" s="48" t="n">
        <x:v>1</x:v>
      </x:c>
      <x:c r="G187" s="48" t="str">
        <x:v>marine_capture</x:v>
      </x:c>
      <x:c r="H187" s="48" t="str">
        <x:v>海洋捕捞</x:v>
      </x:c>
      <x:c r="I187" s="48" t="n">
        <x:v>2</x:v>
      </x:c>
      <x:c r="J187" s="48" t="str">
        <x:v>deep_processing</x:v>
      </x:c>
      <x:c r="K187" s="48" t="str">
        <x:v>深加工</x:v>
      </x:c>
      <x:c r="L187" s="55" t="n">
        <x:v>97217.52791077101</x:v>
      </x:c>
      <x:c r="M187" s="54" t="n">
        <x:v>0.027203291352390798</x:v>
      </x:c>
      <x:c r="N187" s="54" t="n">
        <x:v>0.6222092256941605</x:v>
      </x:c>
      <x:c r="O187" s="55" t="n">
        <x:v>360279.36375331465</x:v>
      </x:c>
      <x:c r="P187" s="55" t="n">
        <x:v>454823.938324087</x:v>
      </x:c>
      <x:c r="Q187" s="55" t="n">
        <x:v>539660.9705568755</x:v>
      </x:c>
      <x:c r="R187" s="54" t="n">
        <x:v>0.82</x:v>
      </x:c>
      <x:c r="S187" s="54" t="n">
        <x:v>0.95</x:v>
      </x:c>
      <x:c r="T187" s="54" t="n">
        <x:v>0.36</x:v>
      </x:c>
      <x:c r="U187" s="54" t="n">
        <x:v>0.31</x:v>
      </x:c>
      <x:c r="V187" s="54" t="n">
        <x:v>1</x:v>
      </x:c>
      <x:c r="W187" s="53" t="str">
        <x:v>calibrated reconstruction; not historical author input</x:v>
      </x:c>
    </x:row>
    <x:row r="188" ht="28" hidden="0" customHeight="1">
      <x:c r="A188" s="48" t="str">
        <x:v>x_r24_s2_m1</x:v>
      </x:c>
      <x:c r="B188" s="48" t="str">
        <x:v>r24</x:v>
      </x:c>
      <x:c r="C188" s="48" t="str">
        <x:v>CN-GZ</x:v>
      </x:c>
      <x:c r="D188" s="48" t="str">
        <x:v>Guizhou</x:v>
      </x:c>
      <x:c r="E188" s="48" t="str">
        <x:v>贵州</x:v>
      </x:c>
      <x:c r="F188" s="48" t="n">
        <x:v>2</x:v>
      </x:c>
      <x:c r="G188" s="48" t="str">
        <x:v>freshwater_capture</x:v>
      </x:c>
      <x:c r="H188" s="48" t="str">
        <x:v>淡水捕捞</x:v>
      </x:c>
      <x:c r="I188" s="48" t="n">
        <x:v>1</x:v>
      </x:c>
      <x:c r="J188" s="48" t="str">
        <x:v>fresh_sales</x:v>
      </x:c>
      <x:c r="K188" s="48" t="str">
        <x:v>鲜销</x:v>
      </x:c>
      <x:c r="L188" s="55" t="n">
        <x:v>78540.6121544365</x:v>
      </x:c>
      <x:c r="M188" s="54" t="n">
        <x:v>0.027203291352390798</x:v>
      </x:c>
      <x:c r="N188" s="54" t="n">
        <x:v>0.6222092256941605</x:v>
      </x:c>
      <x:c r="O188" s="55" t="n">
        <x:v>360279.36375331465</x:v>
      </x:c>
      <x:c r="P188" s="55" t="n">
        <x:v>454823.938324087</x:v>
      </x:c>
      <x:c r="Q188" s="55" t="n">
        <x:v>539660.9705568755</x:v>
      </x:c>
      <x:c r="R188" s="54" t="n">
        <x:v>0.7</x:v>
      </x:c>
      <x:c r="S188" s="54" t="n">
        <x:v>0.67</x:v>
      </x:c>
      <x:c r="T188" s="54" t="n">
        <x:v>0.26</x:v>
      </x:c>
      <x:c r="U188" s="54" t="n">
        <x:v>0.42</x:v>
      </x:c>
      <x:c r="V188" s="54" t="n">
        <x:v>0.7</x:v>
      </x:c>
      <x:c r="W188" s="53" t="str">
        <x:v>calibrated reconstruction; not historical author input</x:v>
      </x:c>
    </x:row>
    <x:row r="189" ht="28" hidden="0" customHeight="1">
      <x:c r="A189" s="48" t="str">
        <x:v>x_r24_s2_m2</x:v>
      </x:c>
      <x:c r="B189" s="48" t="str">
        <x:v>r24</x:v>
      </x:c>
      <x:c r="C189" s="48" t="str">
        <x:v>CN-GZ</x:v>
      </x:c>
      <x:c r="D189" s="48" t="str">
        <x:v>Guizhou</x:v>
      </x:c>
      <x:c r="E189" s="48" t="str">
        <x:v>贵州</x:v>
      </x:c>
      <x:c r="F189" s="48" t="n">
        <x:v>2</x:v>
      </x:c>
      <x:c r="G189" s="48" t="str">
        <x:v>freshwater_capture</x:v>
      </x:c>
      <x:c r="H189" s="48" t="str">
        <x:v>淡水捕捞</x:v>
      </x:c>
      <x:c r="I189" s="48" t="n">
        <x:v>2</x:v>
      </x:c>
      <x:c r="J189" s="48" t="str">
        <x:v>deep_processing</x:v>
      </x:c>
      <x:c r="K189" s="48" t="str">
        <x:v>深加工</x:v>
      </x:c>
      <x:c r="L189" s="55" t="n">
        <x:v>35286.361982427996</x:v>
      </x:c>
      <x:c r="M189" s="54" t="n">
        <x:v>0.027203291352390798</x:v>
      </x:c>
      <x:c r="N189" s="54" t="n">
        <x:v>0.6222092256941605</x:v>
      </x:c>
      <x:c r="O189" s="55" t="n">
        <x:v>360279.36375331465</x:v>
      </x:c>
      <x:c r="P189" s="55" t="n">
        <x:v>454823.938324087</x:v>
      </x:c>
      <x:c r="Q189" s="55" t="n">
        <x:v>539660.9705568755</x:v>
      </x:c>
      <x:c r="R189" s="54" t="n">
        <x:v>0.86</x:v>
      </x:c>
      <x:c r="S189" s="54" t="n">
        <x:v>0.99</x:v>
      </x:c>
      <x:c r="T189" s="54" t="n">
        <x:v>0.34</x:v>
      </x:c>
      <x:c r="U189" s="54" t="n">
        <x:v>0.45</x:v>
      </x:c>
      <x:c r="V189" s="54" t="n">
        <x:v>0.7</x:v>
      </x:c>
      <x:c r="W189" s="53" t="str">
        <x:v>calibrated reconstruction; not historical author input</x:v>
      </x:c>
    </x:row>
    <x:row r="190" ht="28" hidden="0" customHeight="1">
      <x:c r="A190" s="48" t="str">
        <x:v>x_r24_s3_m1</x:v>
      </x:c>
      <x:c r="B190" s="48" t="str">
        <x:v>r24</x:v>
      </x:c>
      <x:c r="C190" s="48" t="str">
        <x:v>CN-GZ</x:v>
      </x:c>
      <x:c r="D190" s="48" t="str">
        <x:v>Guizhou</x:v>
      </x:c>
      <x:c r="E190" s="48" t="str">
        <x:v>贵州</x:v>
      </x:c>
      <x:c r="F190" s="48" t="n">
        <x:v>3</x:v>
      </x:c>
      <x:c r="G190" s="48" t="str">
        <x:v>marine_aquaculture</x:v>
      </x:c>
      <x:c r="H190" s="48" t="str">
        <x:v>海水养殖</x:v>
      </x:c>
      <x:c r="I190" s="48" t="n">
        <x:v>1</x:v>
      </x:c>
      <x:c r="J190" s="48" t="str">
        <x:v>fresh_sales</x:v>
      </x:c>
      <x:c r="K190" s="48" t="str">
        <x:v>鲜销</x:v>
      </x:c>
      <x:c r="L190" s="55" t="n">
        <x:v>540167.0672662265</x:v>
      </x:c>
      <x:c r="M190" s="54" t="n">
        <x:v>0.027203291352390798</x:v>
      </x:c>
      <x:c r="N190" s="54" t="n">
        <x:v>0.6222092256941605</x:v>
      </x:c>
      <x:c r="O190" s="55" t="n">
        <x:v>360279.36375331465</x:v>
      </x:c>
      <x:c r="P190" s="55" t="n">
        <x:v>454823.938324087</x:v>
      </x:c>
      <x:c r="Q190" s="55" t="n">
        <x:v>539660.9705568755</x:v>
      </x:c>
      <x:c r="R190" s="54" t="n">
        <x:v>0.84</x:v>
      </x:c>
      <x:c r="S190" s="54" t="n">
        <x:v>0.8</x:v>
      </x:c>
      <x:c r="T190" s="54" t="n">
        <x:v>0.33</x:v>
      </x:c>
      <x:c r="U190" s="54" t="n">
        <x:v>0.78</x:v>
      </x:c>
      <x:c r="V190" s="54" t="n">
        <x:v>0.11</x:v>
      </x:c>
      <x:c r="W190" s="53" t="str">
        <x:v>calibrated reconstruction; not historical author input</x:v>
      </x:c>
    </x:row>
    <x:row r="191" ht="28" hidden="0" customHeight="1">
      <x:c r="A191" s="48" t="str">
        <x:v>x_r24_s3_m2</x:v>
      </x:c>
      <x:c r="B191" s="48" t="str">
        <x:v>r24</x:v>
      </x:c>
      <x:c r="C191" s="48" t="str">
        <x:v>CN-GZ</x:v>
      </x:c>
      <x:c r="D191" s="48" t="str">
        <x:v>Guizhou</x:v>
      </x:c>
      <x:c r="E191" s="48" t="str">
        <x:v>贵州</x:v>
      </x:c>
      <x:c r="F191" s="48" t="n">
        <x:v>3</x:v>
      </x:c>
      <x:c r="G191" s="48" t="str">
        <x:v>marine_aquaculture</x:v>
      </x:c>
      <x:c r="H191" s="48" t="str">
        <x:v>海水养殖</x:v>
      </x:c>
      <x:c r="I191" s="48" t="n">
        <x:v>2</x:v>
      </x:c>
      <x:c r="J191" s="48" t="str">
        <x:v>deep_processing</x:v>
      </x:c>
      <x:c r="K191" s="48" t="str">
        <x:v>深加工</x:v>
      </x:c>
      <x:c r="L191" s="55" t="n">
        <x:v>242683.75485873947</x:v>
      </x:c>
      <x:c r="M191" s="54" t="n">
        <x:v>0.027203291352390798</x:v>
      </x:c>
      <x:c r="N191" s="54" t="n">
        <x:v>0.6222092256941605</x:v>
      </x:c>
      <x:c r="O191" s="55" t="n">
        <x:v>360279.36375331465</x:v>
      </x:c>
      <x:c r="P191" s="55" t="n">
        <x:v>454823.938324087</x:v>
      </x:c>
      <x:c r="Q191" s="55" t="n">
        <x:v>539660.9705568755</x:v>
      </x:c>
      <x:c r="R191" s="54" t="n">
        <x:v>1.02</x:v>
      </x:c>
      <x:c r="S191" s="54" t="n">
        <x:v>1.16</x:v>
      </x:c>
      <x:c r="T191" s="54" t="n">
        <x:v>0.41</x:v>
      </x:c>
      <x:c r="U191" s="54" t="n">
        <x:v>0.81</x:v>
      </x:c>
      <x:c r="V191" s="54" t="n">
        <x:v>0.11</x:v>
      </x:c>
      <x:c r="W191" s="53" t="str">
        <x:v>calibrated reconstruction; not historical author input</x:v>
      </x:c>
    </x:row>
    <x:row r="192" ht="28" hidden="0" customHeight="1">
      <x:c r="A192" s="48" t="str">
        <x:v>x_r24_s4_m1</x:v>
      </x:c>
      <x:c r="B192" s="48" t="str">
        <x:v>r24</x:v>
      </x:c>
      <x:c r="C192" s="48" t="str">
        <x:v>CN-GZ</x:v>
      </x:c>
      <x:c r="D192" s="48" t="str">
        <x:v>Guizhou</x:v>
      </x:c>
      <x:c r="E192" s="48" t="str">
        <x:v>贵州</x:v>
      </x:c>
      <x:c r="F192" s="48" t="n">
        <x:v>4</x:v>
      </x:c>
      <x:c r="G192" s="48" t="str">
        <x:v>freshwater_aquaculture</x:v>
      </x:c>
      <x:c r="H192" s="48" t="str">
        <x:v>淡水养殖</x:v>
      </x:c>
      <x:c r="I192" s="48" t="n">
        <x:v>1</x:v>
      </x:c>
      <x:c r="J192" s="48" t="str">
        <x:v>fresh_sales</x:v>
      </x:c>
      <x:c r="K192" s="48" t="str">
        <x:v>鲜销</x:v>
      </x:c>
      <x:c r="L192" s="55" t="n">
        <x:v>767774.5555505118</x:v>
      </x:c>
      <x:c r="M192" s="54" t="n">
        <x:v>0.027203291352390798</x:v>
      </x:c>
      <x:c r="N192" s="54" t="n">
        <x:v>0.6222092256941605</x:v>
      </x:c>
      <x:c r="O192" s="55" t="n">
        <x:v>360279.36375331465</x:v>
      </x:c>
      <x:c r="P192" s="55" t="n">
        <x:v>454823.938324087</x:v>
      </x:c>
      <x:c r="Q192" s="55" t="n">
        <x:v>539660.9705568755</x:v>
      </x:c>
      <x:c r="R192" s="54" t="n">
        <x:v>0.88</x:v>
      </x:c>
      <x:c r="S192" s="54" t="n">
        <x:v>0.84</x:v>
      </x:c>
      <x:c r="T192" s="54" t="n">
        <x:v>0.31</x:v>
      </x:c>
      <x:c r="U192" s="54" t="n">
        <x:v>0.88</x:v>
      </x:c>
      <x:c r="V192" s="54" t="n">
        <x:v>0.08</x:v>
      </x:c>
      <x:c r="W192" s="53" t="str">
        <x:v>calibrated reconstruction; not historical author input</x:v>
      </x:c>
    </x:row>
    <x:row r="193" ht="28" hidden="0" customHeight="1">
      <x:c r="A193" s="48" t="str">
        <x:v>x_r24_s4_m2</x:v>
      </x:c>
      <x:c r="B193" s="48" t="str">
        <x:v>r24</x:v>
      </x:c>
      <x:c r="C193" s="48" t="str">
        <x:v>CN-GZ</x:v>
      </x:c>
      <x:c r="D193" s="48" t="str">
        <x:v>Guizhou</x:v>
      </x:c>
      <x:c r="E193" s="48" t="str">
        <x:v>贵州</x:v>
      </x:c>
      <x:c r="F193" s="48" t="n">
        <x:v>4</x:v>
      </x:c>
      <x:c r="G193" s="48" t="str">
        <x:v>freshwater_aquaculture</x:v>
      </x:c>
      <x:c r="H193" s="48" t="str">
        <x:v>淡水养殖</x:v>
      </x:c>
      <x:c r="I193" s="48" t="n">
        <x:v>2</x:v>
      </x:c>
      <x:c r="J193" s="48" t="str">
        <x:v>deep_processing</x:v>
      </x:c>
      <x:c r="K193" s="48" t="str">
        <x:v>深加工</x:v>
      </x:c>
      <x:c r="L193" s="55" t="n">
        <x:v>344942.191624143</x:v>
      </x:c>
      <x:c r="M193" s="54" t="n">
        <x:v>0.027203291352390798</x:v>
      </x:c>
      <x:c r="N193" s="54" t="n">
        <x:v>0.6222092256941605</x:v>
      </x:c>
      <x:c r="O193" s="55" t="n">
        <x:v>360279.36375331465</x:v>
      </x:c>
      <x:c r="P193" s="55" t="n">
        <x:v>454823.938324087</x:v>
      </x:c>
      <x:c r="Q193" s="55" t="n">
        <x:v>539660.9705568755</x:v>
      </x:c>
      <x:c r="R193" s="54" t="n">
        <x:v>1.06</x:v>
      </x:c>
      <x:c r="S193" s="54" t="n">
        <x:v>1.2</x:v>
      </x:c>
      <x:c r="T193" s="54" t="n">
        <x:v>0.39</x:v>
      </x:c>
      <x:c r="U193" s="54" t="n">
        <x:v>0.91</x:v>
      </x:c>
      <x:c r="V193" s="54" t="n">
        <x:v>0.08</x:v>
      </x:c>
      <x:c r="W193" s="53" t="str">
        <x:v>calibrated reconstruction; not historical author input</x:v>
      </x:c>
    </x:row>
    <x:row r="194" ht="28" hidden="0" customHeight="1">
      <x:c r="A194" s="48" t="str">
        <x:v>x_r25_s1_m1</x:v>
      </x:c>
      <x:c r="B194" s="48" t="str">
        <x:v>r25</x:v>
      </x:c>
      <x:c r="C194" s="48" t="str">
        <x:v>CN-YN</x:v>
      </x:c>
      <x:c r="D194" s="48" t="str">
        <x:v>Yunnan</x:v>
      </x:c>
      <x:c r="E194" s="48" t="str">
        <x:v>云南</x:v>
      </x:c>
      <x:c r="F194" s="48" t="n">
        <x:v>1</x:v>
      </x:c>
      <x:c r="G194" s="48" t="str">
        <x:v>marine_capture</x:v>
      </x:c>
      <x:c r="H194" s="48" t="str">
        <x:v>海洋捕捞</x:v>
      </x:c>
      <x:c r="I194" s="48" t="n">
        <x:v>1</x:v>
      </x:c>
      <x:c r="J194" s="48" t="str">
        <x:v>fresh_sales</x:v>
      </x:c>
      <x:c r="K194" s="48" t="str">
        <x:v>鲜销</x:v>
      </x:c>
      <x:c r="L194" s="55" t="n">
        <x:v>184735.1712223955</x:v>
      </x:c>
      <x:c r="M194" s="54" t="n">
        <x:v>0.02322410947419216</x:v>
      </x:c>
      <x:c r="N194" s="54" t="n">
        <x:v>0.4815683212710874</x:v>
      </x:c>
      <x:c r="O194" s="55" t="n">
        <x:v>284122.0537675518</x:v>
      </x:c>
      <x:c r="P194" s="55" t="n">
        <x:v>372841.78410961194</x:v>
      </x:c>
      <x:c r="Q194" s="55" t="n">
        <x:v>471154.72192583425</x:v>
      </x:c>
      <x:c r="R194" s="54" t="n">
        <x:v>0.65</x:v>
      </x:c>
      <x:c r="S194" s="54" t="n">
        <x:v>0.62</x:v>
      </x:c>
      <x:c r="T194" s="54" t="n">
        <x:v>0.29</x:v>
      </x:c>
      <x:c r="U194" s="54" t="n">
        <x:v>0.28</x:v>
      </x:c>
      <x:c r="V194" s="54" t="n">
        <x:v>1</x:v>
      </x:c>
      <x:c r="W194" s="53" t="str">
        <x:v>calibrated reconstruction; not historical author input</x:v>
      </x:c>
    </x:row>
    <x:row r="195" ht="28" hidden="0" customHeight="1">
      <x:c r="A195" s="48" t="str">
        <x:v>x_r25_s1_m2</x:v>
      </x:c>
      <x:c r="B195" s="48" t="str">
        <x:v>r25</x:v>
      </x:c>
      <x:c r="C195" s="48" t="str">
        <x:v>CN-YN</x:v>
      </x:c>
      <x:c r="D195" s="48" t="str">
        <x:v>Yunnan</x:v>
      </x:c>
      <x:c r="E195" s="48" t="str">
        <x:v>云南</x:v>
      </x:c>
      <x:c r="F195" s="48" t="n">
        <x:v>1</x:v>
      </x:c>
      <x:c r="G195" s="48" t="str">
        <x:v>marine_capture</x:v>
      </x:c>
      <x:c r="H195" s="48" t="str">
        <x:v>海洋捕捞</x:v>
      </x:c>
      <x:c r="I195" s="48" t="n">
        <x:v>2</x:v>
      </x:c>
      <x:c r="J195" s="48" t="str">
        <x:v>deep_processing</x:v>
      </x:c>
      <x:c r="K195" s="48" t="str">
        <x:v>深加工</x:v>
      </x:c>
      <x:c r="L195" s="55" t="n">
        <x:v>82996.96098397479</x:v>
      </x:c>
      <x:c r="M195" s="54" t="n">
        <x:v>0.02322410947419216</x:v>
      </x:c>
      <x:c r="N195" s="54" t="n">
        <x:v>0.4815683212710874</x:v>
      </x:c>
      <x:c r="O195" s="55" t="n">
        <x:v>284122.0537675518</x:v>
      </x:c>
      <x:c r="P195" s="55" t="n">
        <x:v>372841.78410961194</x:v>
      </x:c>
      <x:c r="Q195" s="55" t="n">
        <x:v>471154.72192583425</x:v>
      </x:c>
      <x:c r="R195" s="54" t="n">
        <x:v>0.82</x:v>
      </x:c>
      <x:c r="S195" s="54" t="n">
        <x:v>0.95</x:v>
      </x:c>
      <x:c r="T195" s="54" t="n">
        <x:v>0.36</x:v>
      </x:c>
      <x:c r="U195" s="54" t="n">
        <x:v>0.31</x:v>
      </x:c>
      <x:c r="V195" s="54" t="n">
        <x:v>1</x:v>
      </x:c>
      <x:c r="W195" s="53" t="str">
        <x:v>calibrated reconstruction; not historical author input</x:v>
      </x:c>
    </x:row>
    <x:row r="196" ht="28" hidden="0" customHeight="1">
      <x:c r="A196" s="48" t="str">
        <x:v>x_r25_s2_m1</x:v>
      </x:c>
      <x:c r="B196" s="48" t="str">
        <x:v>r25</x:v>
      </x:c>
      <x:c r="C196" s="48" t="str">
        <x:v>CN-YN</x:v>
      </x:c>
      <x:c r="D196" s="48" t="str">
        <x:v>Yunnan</x:v>
      </x:c>
      <x:c r="E196" s="48" t="str">
        <x:v>云南</x:v>
      </x:c>
      <x:c r="F196" s="48" t="n">
        <x:v>2</x:v>
      </x:c>
      <x:c r="G196" s="48" t="str">
        <x:v>freshwater_capture</x:v>
      </x:c>
      <x:c r="H196" s="48" t="str">
        <x:v>淡水捕捞</x:v>
      </x:c>
      <x:c r="I196" s="48" t="n">
        <x:v>1</x:v>
      </x:c>
      <x:c r="J196" s="48" t="str">
        <x:v>fresh_sales</x:v>
      </x:c>
      <x:c r="K196" s="48" t="str">
        <x:v>鲜销</x:v>
      </x:c>
      <x:c r="L196" s="55" t="n">
        <x:v>67052.02511035095</x:v>
      </x:c>
      <x:c r="M196" s="54" t="n">
        <x:v>0.02322410947419216</x:v>
      </x:c>
      <x:c r="N196" s="54" t="n">
        <x:v>0.4815683212710874</x:v>
      </x:c>
      <x:c r="O196" s="55" t="n">
        <x:v>284122.0537675518</x:v>
      </x:c>
      <x:c r="P196" s="55" t="n">
        <x:v>372841.78410961194</x:v>
      </x:c>
      <x:c r="Q196" s="55" t="n">
        <x:v>471154.72192583425</x:v>
      </x:c>
      <x:c r="R196" s="54" t="n">
        <x:v>0.7</x:v>
      </x:c>
      <x:c r="S196" s="54" t="n">
        <x:v>0.67</x:v>
      </x:c>
      <x:c r="T196" s="54" t="n">
        <x:v>0.26</x:v>
      </x:c>
      <x:c r="U196" s="54" t="n">
        <x:v>0.42</x:v>
      </x:c>
      <x:c r="V196" s="54" t="n">
        <x:v>0.7</x:v>
      </x:c>
      <x:c r="W196" s="53" t="str">
        <x:v>calibrated reconstruction; not historical author input</x:v>
      </x:c>
    </x:row>
    <x:row r="197" ht="28" hidden="0" customHeight="1">
      <x:c r="A197" s="48" t="str">
        <x:v>x_r25_s2_m2</x:v>
      </x:c>
      <x:c r="B197" s="48" t="str">
        <x:v>r25</x:v>
      </x:c>
      <x:c r="C197" s="48" t="str">
        <x:v>CN-YN</x:v>
      </x:c>
      <x:c r="D197" s="48" t="str">
        <x:v>Yunnan</x:v>
      </x:c>
      <x:c r="E197" s="48" t="str">
        <x:v>云南</x:v>
      </x:c>
      <x:c r="F197" s="48" t="n">
        <x:v>2</x:v>
      </x:c>
      <x:c r="G197" s="48" t="str">
        <x:v>freshwater_capture</x:v>
      </x:c>
      <x:c r="H197" s="48" t="str">
        <x:v>淡水捕捞</x:v>
      </x:c>
      <x:c r="I197" s="48" t="n">
        <x:v>2</x:v>
      </x:c>
      <x:c r="J197" s="48" t="str">
        <x:v>deep_processing</x:v>
      </x:c>
      <x:c r="K197" s="48" t="str">
        <x:v>深加工</x:v>
      </x:c>
      <x:c r="L197" s="55" t="n">
        <x:v>30124.82287566492</x:v>
      </x:c>
      <x:c r="M197" s="54" t="n">
        <x:v>0.02322410947419216</x:v>
      </x:c>
      <x:c r="N197" s="54" t="n">
        <x:v>0.4815683212710874</x:v>
      </x:c>
      <x:c r="O197" s="55" t="n">
        <x:v>284122.0537675518</x:v>
      </x:c>
      <x:c r="P197" s="55" t="n">
        <x:v>372841.78410961194</x:v>
      </x:c>
      <x:c r="Q197" s="55" t="n">
        <x:v>471154.72192583425</x:v>
      </x:c>
      <x:c r="R197" s="54" t="n">
        <x:v>0.86</x:v>
      </x:c>
      <x:c r="S197" s="54" t="n">
        <x:v>0.99</x:v>
      </x:c>
      <x:c r="T197" s="54" t="n">
        <x:v>0.34</x:v>
      </x:c>
      <x:c r="U197" s="54" t="n">
        <x:v>0.45</x:v>
      </x:c>
      <x:c r="V197" s="54" t="n">
        <x:v>0.7</x:v>
      </x:c>
      <x:c r="W197" s="53" t="str">
        <x:v>calibrated reconstruction; not historical author input</x:v>
      </x:c>
    </x:row>
    <x:row r="198" ht="28" hidden="0" customHeight="1">
      <x:c r="A198" s="48" t="str">
        <x:v>x_r25_s3_m1</x:v>
      </x:c>
      <x:c r="B198" s="48" t="str">
        <x:v>r25</x:v>
      </x:c>
      <x:c r="C198" s="48" t="str">
        <x:v>CN-YN</x:v>
      </x:c>
      <x:c r="D198" s="48" t="str">
        <x:v>Yunnan</x:v>
      </x:c>
      <x:c r="E198" s="48" t="str">
        <x:v>云南</x:v>
      </x:c>
      <x:c r="F198" s="48" t="n">
        <x:v>3</x:v>
      </x:c>
      <x:c r="G198" s="48" t="str">
        <x:v>marine_aquaculture</x:v>
      </x:c>
      <x:c r="H198" s="48" t="str">
        <x:v>海水养殖</x:v>
      </x:c>
      <x:c r="I198" s="48" t="n">
        <x:v>1</x:v>
      </x:c>
      <x:c r="J198" s="48" t="str">
        <x:v>fresh_sales</x:v>
      </x:c>
      <x:c r="K198" s="48" t="str">
        <x:v>鲜销</x:v>
      </x:c>
      <x:c r="L198" s="55" t="n">
        <x:v>461153.723718128</x:v>
      </x:c>
      <x:c r="M198" s="54" t="n">
        <x:v>0.02322410947419216</x:v>
      </x:c>
      <x:c r="N198" s="54" t="n">
        <x:v>0.4815683212710874</x:v>
      </x:c>
      <x:c r="O198" s="55" t="n">
        <x:v>284122.0537675518</x:v>
      </x:c>
      <x:c r="P198" s="55" t="n">
        <x:v>372841.78410961194</x:v>
      </x:c>
      <x:c r="Q198" s="55" t="n">
        <x:v>471154.72192583425</x:v>
      </x:c>
      <x:c r="R198" s="54" t="n">
        <x:v>0.84</x:v>
      </x:c>
      <x:c r="S198" s="54" t="n">
        <x:v>0.8</x:v>
      </x:c>
      <x:c r="T198" s="54" t="n">
        <x:v>0.33</x:v>
      </x:c>
      <x:c r="U198" s="54" t="n">
        <x:v>0.78</x:v>
      </x:c>
      <x:c r="V198" s="54" t="n">
        <x:v>0.11</x:v>
      </x:c>
      <x:c r="W198" s="53" t="str">
        <x:v>calibrated reconstruction; not historical author input</x:v>
      </x:c>
    </x:row>
    <x:row r="199" ht="28" hidden="0" customHeight="1">
      <x:c r="A199" s="48" t="str">
        <x:v>x_r25_s3_m2</x:v>
      </x:c>
      <x:c r="B199" s="48" t="str">
        <x:v>r25</x:v>
      </x:c>
      <x:c r="C199" s="48" t="str">
        <x:v>CN-YN</x:v>
      </x:c>
      <x:c r="D199" s="48" t="str">
        <x:v>Yunnan</x:v>
      </x:c>
      <x:c r="E199" s="48" t="str">
        <x:v>云南</x:v>
      </x:c>
      <x:c r="F199" s="48" t="n">
        <x:v>3</x:v>
      </x:c>
      <x:c r="G199" s="48" t="str">
        <x:v>marine_aquaculture</x:v>
      </x:c>
      <x:c r="H199" s="48" t="str">
        <x:v>海水养殖</x:v>
      </x:c>
      <x:c r="I199" s="48" t="n">
        <x:v>2</x:v>
      </x:c>
      <x:c r="J199" s="48" t="str">
        <x:v>deep_processing</x:v>
      </x:c>
      <x:c r="K199" s="48" t="str">
        <x:v>深加工</x:v>
      </x:c>
      <x:c r="L199" s="55" t="n">
        <x:v>207185.00630814445</x:v>
      </x:c>
      <x:c r="M199" s="54" t="n">
        <x:v>0.02322410947419216</x:v>
      </x:c>
      <x:c r="N199" s="54" t="n">
        <x:v>0.4815683212710874</x:v>
      </x:c>
      <x:c r="O199" s="55" t="n">
        <x:v>284122.0537675518</x:v>
      </x:c>
      <x:c r="P199" s="55" t="n">
        <x:v>372841.78410961194</x:v>
      </x:c>
      <x:c r="Q199" s="55" t="n">
        <x:v>471154.72192583425</x:v>
      </x:c>
      <x:c r="R199" s="54" t="n">
        <x:v>1.02</x:v>
      </x:c>
      <x:c r="S199" s="54" t="n">
        <x:v>1.16</x:v>
      </x:c>
      <x:c r="T199" s="54" t="n">
        <x:v>0.41</x:v>
      </x:c>
      <x:c r="U199" s="54" t="n">
        <x:v>0.81</x:v>
      </x:c>
      <x:c r="V199" s="54" t="n">
        <x:v>0.11</x:v>
      </x:c>
      <x:c r="W199" s="53" t="str">
        <x:v>calibrated reconstruction; not historical author input</x:v>
      </x:c>
    </x:row>
    <x:row r="200" ht="28" hidden="0" customHeight="1">
      <x:c r="A200" s="48" t="str">
        <x:v>x_r25_s4_m1</x:v>
      </x:c>
      <x:c r="B200" s="48" t="str">
        <x:v>r25</x:v>
      </x:c>
      <x:c r="C200" s="48" t="str">
        <x:v>CN-YN</x:v>
      </x:c>
      <x:c r="D200" s="48" t="str">
        <x:v>Yunnan</x:v>
      </x:c>
      <x:c r="E200" s="48" t="str">
        <x:v>云南</x:v>
      </x:c>
      <x:c r="F200" s="48" t="n">
        <x:v>4</x:v>
      </x:c>
      <x:c r="G200" s="48" t="str">
        <x:v>freshwater_aquaculture</x:v>
      </x:c>
      <x:c r="H200" s="48" t="str">
        <x:v>淡水养殖</x:v>
      </x:c>
      <x:c r="I200" s="48" t="n">
        <x:v>1</x:v>
      </x:c>
      <x:c r="J200" s="48" t="str">
        <x:v>fresh_sales</x:v>
      </x:c>
      <x:c r="K200" s="48" t="str">
        <x:v>鲜销</x:v>
      </x:c>
      <x:c r="L200" s="55" t="n">
        <x:v>655467.7556705736</x:v>
      </x:c>
      <x:c r="M200" s="54" t="n">
        <x:v>0.02322410947419216</x:v>
      </x:c>
      <x:c r="N200" s="54" t="n">
        <x:v>0.4815683212710874</x:v>
      </x:c>
      <x:c r="O200" s="55" t="n">
        <x:v>284122.0537675518</x:v>
      </x:c>
      <x:c r="P200" s="55" t="n">
        <x:v>372841.78410961194</x:v>
      </x:c>
      <x:c r="Q200" s="55" t="n">
        <x:v>471154.72192583425</x:v>
      </x:c>
      <x:c r="R200" s="54" t="n">
        <x:v>0.88</x:v>
      </x:c>
      <x:c r="S200" s="54" t="n">
        <x:v>0.84</x:v>
      </x:c>
      <x:c r="T200" s="54" t="n">
        <x:v>0.31</x:v>
      </x:c>
      <x:c r="U200" s="54" t="n">
        <x:v>0.88</x:v>
      </x:c>
      <x:c r="V200" s="54" t="n">
        <x:v>0.08</x:v>
      </x:c>
      <x:c r="W200" s="53" t="str">
        <x:v>calibrated reconstruction; not historical author input</x:v>
      </x:c>
    </x:row>
    <x:row r="201" ht="28" hidden="0" customHeight="1">
      <x:c r="A201" s="48" t="str">
        <x:v>x_r25_s4_m2</x:v>
      </x:c>
      <x:c r="B201" s="48" t="str">
        <x:v>r25</x:v>
      </x:c>
      <x:c r="C201" s="48" t="str">
        <x:v>CN-YN</x:v>
      </x:c>
      <x:c r="D201" s="48" t="str">
        <x:v>Yunnan</x:v>
      </x:c>
      <x:c r="E201" s="48" t="str">
        <x:v>云南</x:v>
      </x:c>
      <x:c r="F201" s="48" t="n">
        <x:v>4</x:v>
      </x:c>
      <x:c r="G201" s="48" t="str">
        <x:v>freshwater_aquaculture</x:v>
      </x:c>
      <x:c r="H201" s="48" t="str">
        <x:v>淡水养殖</x:v>
      </x:c>
      <x:c r="I201" s="48" t="n">
        <x:v>2</x:v>
      </x:c>
      <x:c r="J201" s="48" t="str">
        <x:v>deep_processing</x:v>
      </x:c>
      <x:c r="K201" s="48" t="str">
        <x:v>深加工</x:v>
      </x:c>
      <x:c r="L201" s="55" t="n">
        <x:v>294485.5134172142</x:v>
      </x:c>
      <x:c r="M201" s="54" t="n">
        <x:v>0.02322410947419216</x:v>
      </x:c>
      <x:c r="N201" s="54" t="n">
        <x:v>0.4815683212710874</x:v>
      </x:c>
      <x:c r="O201" s="55" t="n">
        <x:v>284122.0537675518</x:v>
      </x:c>
      <x:c r="P201" s="55" t="n">
        <x:v>372841.78410961194</x:v>
      </x:c>
      <x:c r="Q201" s="55" t="n">
        <x:v>471154.72192583425</x:v>
      </x:c>
      <x:c r="R201" s="54" t="n">
        <x:v>1.06</x:v>
      </x:c>
      <x:c r="S201" s="54" t="n">
        <x:v>1.2</x:v>
      </x:c>
      <x:c r="T201" s="54" t="n">
        <x:v>0.39</x:v>
      </x:c>
      <x:c r="U201" s="54" t="n">
        <x:v>0.91</x:v>
      </x:c>
      <x:c r="V201" s="54" t="n">
        <x:v>0.08</x:v>
      </x:c>
      <x:c r="W201" s="53" t="str">
        <x:v>calibrated reconstruction; not historical author input</x:v>
      </x:c>
    </x:row>
    <x:row r="202" ht="28" hidden="0" customHeight="1">
      <x:c r="A202" s="48" t="str">
        <x:v>x_r26_s1_m1</x:v>
      </x:c>
      <x:c r="B202" s="48" t="str">
        <x:v>r26</x:v>
      </x:c>
      <x:c r="C202" s="48" t="str">
        <x:v>CN-XZ</x:v>
      </x:c>
      <x:c r="D202" s="48" t="str">
        <x:v>Tibet</x:v>
      </x:c>
      <x:c r="E202" s="48" t="str">
        <x:v>西藏</x:v>
      </x:c>
      <x:c r="F202" s="48" t="n">
        <x:v>1</x:v>
      </x:c>
      <x:c r="G202" s="48" t="str">
        <x:v>marine_capture</x:v>
      </x:c>
      <x:c r="H202" s="48" t="str">
        <x:v>海洋捕捞</x:v>
      </x:c>
      <x:c r="I202" s="48" t="n">
        <x:v>1</x:v>
      </x:c>
      <x:c r="J202" s="48" t="str">
        <x:v>fresh_sales</x:v>
      </x:c>
      <x:c r="K202" s="48" t="str">
        <x:v>鲜销</x:v>
      </x:c>
      <x:c r="L202" s="55" t="n">
        <x:v>156984.62335703758</x:v>
      </x:c>
      <x:c r="M202" s="54" t="n">
        <x:v>0.01973543020792502</x:v>
      </x:c>
      <x:c r="N202" s="54" t="n">
        <x:v>0.48815883171375496</x:v>
      </x:c>
      <x:c r="O202" s="55" t="n">
        <x:v>199218.86662990725</x:v>
      </x:c>
      <x:c r="P202" s="55" t="n">
        <x:v>303703.0309622417</x:v>
      </x:c>
      <x:c r="Q202" s="55" t="n">
        <x:v>369086.96505644696</x:v>
      </x:c>
      <x:c r="R202" s="54" t="n">
        <x:v>0.65</x:v>
      </x:c>
      <x:c r="S202" s="54" t="n">
        <x:v>0.62</x:v>
      </x:c>
      <x:c r="T202" s="54" t="n">
        <x:v>0.29</x:v>
      </x:c>
      <x:c r="U202" s="54" t="n">
        <x:v>0.28</x:v>
      </x:c>
      <x:c r="V202" s="54" t="n">
        <x:v>1</x:v>
      </x:c>
      <x:c r="W202" s="53" t="str">
        <x:v>calibrated reconstruction; not historical author input</x:v>
      </x:c>
    </x:row>
    <x:row r="203" ht="28" hidden="0" customHeight="1">
      <x:c r="A203" s="48" t="str">
        <x:v>x_r26_s1_m2</x:v>
      </x:c>
      <x:c r="B203" s="48" t="str">
        <x:v>r26</x:v>
      </x:c>
      <x:c r="C203" s="48" t="str">
        <x:v>CN-XZ</x:v>
      </x:c>
      <x:c r="D203" s="48" t="str">
        <x:v>Tibet</x:v>
      </x:c>
      <x:c r="E203" s="48" t="str">
        <x:v>西藏</x:v>
      </x:c>
      <x:c r="F203" s="48" t="n">
        <x:v>1</x:v>
      </x:c>
      <x:c r="G203" s="48" t="str">
        <x:v>marine_capture</x:v>
      </x:c>
      <x:c r="H203" s="48" t="str">
        <x:v>海洋捕捞</x:v>
      </x:c>
      <x:c r="I203" s="48" t="n">
        <x:v>2</x:v>
      </x:c>
      <x:c r="J203" s="48" t="str">
        <x:v>deep_processing</x:v>
      </x:c>
      <x:c r="K203" s="48" t="str">
        <x:v>深加工</x:v>
      </x:c>
      <x:c r="L203" s="55" t="n">
        <x:v>70529.3235372198</x:v>
      </x:c>
      <x:c r="M203" s="54" t="n">
        <x:v>0.01973543020792502</x:v>
      </x:c>
      <x:c r="N203" s="54" t="n">
        <x:v>0.48815883171375496</x:v>
      </x:c>
      <x:c r="O203" s="55" t="n">
        <x:v>199218.86662990725</x:v>
      </x:c>
      <x:c r="P203" s="55" t="n">
        <x:v>303703.0309622417</x:v>
      </x:c>
      <x:c r="Q203" s="55" t="n">
        <x:v>369086.96505644696</x:v>
      </x:c>
      <x:c r="R203" s="54" t="n">
        <x:v>0.82</x:v>
      </x:c>
      <x:c r="S203" s="54" t="n">
        <x:v>0.95</x:v>
      </x:c>
      <x:c r="T203" s="54" t="n">
        <x:v>0.36</x:v>
      </x:c>
      <x:c r="U203" s="54" t="n">
        <x:v>0.31</x:v>
      </x:c>
      <x:c r="V203" s="54" t="n">
        <x:v>1</x:v>
      </x:c>
      <x:c r="W203" s="53" t="str">
        <x:v>calibrated reconstruction; not historical author input</x:v>
      </x:c>
    </x:row>
    <x:row r="204" ht="28" hidden="0" customHeight="1">
      <x:c r="A204" s="48" t="str">
        <x:v>x_r26_s2_m1</x:v>
      </x:c>
      <x:c r="B204" s="48" t="str">
        <x:v>r26</x:v>
      </x:c>
      <x:c r="C204" s="48" t="str">
        <x:v>CN-XZ</x:v>
      </x:c>
      <x:c r="D204" s="48" t="str">
        <x:v>Tibet</x:v>
      </x:c>
      <x:c r="E204" s="48" t="str">
        <x:v>西藏</x:v>
      </x:c>
      <x:c r="F204" s="48" t="n">
        <x:v>2</x:v>
      </x:c>
      <x:c r="G204" s="48" t="str">
        <x:v>freshwater_capture</x:v>
      </x:c>
      <x:c r="H204" s="48" t="str">
        <x:v>淡水捕捞</x:v>
      </x:c>
      <x:c r="I204" s="48" t="n">
        <x:v>1</x:v>
      </x:c>
      <x:c r="J204" s="48" t="str">
        <x:v>fresh_sales</x:v>
      </x:c>
      <x:c r="K204" s="48" t="str">
        <x:v>鲜销</x:v>
      </x:c>
      <x:c r="L204" s="55" t="n">
        <x:v>56979.604033295116</x:v>
      </x:c>
      <x:c r="M204" s="54" t="n">
        <x:v>0.01973543020792502</x:v>
      </x:c>
      <x:c r="N204" s="54" t="n">
        <x:v>0.48815883171375496</x:v>
      </x:c>
      <x:c r="O204" s="55" t="n">
        <x:v>199218.86662990725</x:v>
      </x:c>
      <x:c r="P204" s="55" t="n">
        <x:v>303703.0309622417</x:v>
      </x:c>
      <x:c r="Q204" s="55" t="n">
        <x:v>369086.96505644696</x:v>
      </x:c>
      <x:c r="R204" s="54" t="n">
        <x:v>0.7</x:v>
      </x:c>
      <x:c r="S204" s="54" t="n">
        <x:v>0.67</x:v>
      </x:c>
      <x:c r="T204" s="54" t="n">
        <x:v>0.26</x:v>
      </x:c>
      <x:c r="U204" s="54" t="n">
        <x:v>0.42</x:v>
      </x:c>
      <x:c r="V204" s="54" t="n">
        <x:v>0.7</x:v>
      </x:c>
      <x:c r="W204" s="53" t="str">
        <x:v>calibrated reconstruction; not historical author input</x:v>
      </x:c>
    </x:row>
    <x:row r="205" ht="28" hidden="0" customHeight="1">
      <x:c r="A205" s="48" t="str">
        <x:v>x_r26_s2_m2</x:v>
      </x:c>
      <x:c r="B205" s="48" t="str">
        <x:v>r26</x:v>
      </x:c>
      <x:c r="C205" s="48" t="str">
        <x:v>CN-XZ</x:v>
      </x:c>
      <x:c r="D205" s="48" t="str">
        <x:v>Tibet</x:v>
      </x:c>
      <x:c r="E205" s="48" t="str">
        <x:v>西藏</x:v>
      </x:c>
      <x:c r="F205" s="48" t="n">
        <x:v>2</x:v>
      </x:c>
      <x:c r="G205" s="48" t="str">
        <x:v>freshwater_capture</x:v>
      </x:c>
      <x:c r="H205" s="48" t="str">
        <x:v>淡水捕捞</x:v>
      </x:c>
      <x:c r="I205" s="48" t="n">
        <x:v>2</x:v>
      </x:c>
      <x:c r="J205" s="48" t="str">
        <x:v>deep_processing</x:v>
      </x:c>
      <x:c r="K205" s="48" t="str">
        <x:v>深加工</x:v>
      </x:c>
      <x:c r="L205" s="55" t="n">
        <x:v>25599.532246842737</x:v>
      </x:c>
      <x:c r="M205" s="54" t="n">
        <x:v>0.01973543020792502</x:v>
      </x:c>
      <x:c r="N205" s="54" t="n">
        <x:v>0.48815883171375496</x:v>
      </x:c>
      <x:c r="O205" s="55" t="n">
        <x:v>199218.86662990725</x:v>
      </x:c>
      <x:c r="P205" s="55" t="n">
        <x:v>303703.0309622417</x:v>
      </x:c>
      <x:c r="Q205" s="55" t="n">
        <x:v>369086.96505644696</x:v>
      </x:c>
      <x:c r="R205" s="54" t="n">
        <x:v>0.86</x:v>
      </x:c>
      <x:c r="S205" s="54" t="n">
        <x:v>0.99</x:v>
      </x:c>
      <x:c r="T205" s="54" t="n">
        <x:v>0.34</x:v>
      </x:c>
      <x:c r="U205" s="54" t="n">
        <x:v>0.45</x:v>
      </x:c>
      <x:c r="V205" s="54" t="n">
        <x:v>0.7</x:v>
      </x:c>
      <x:c r="W205" s="53" t="str">
        <x:v>calibrated reconstruction; not historical author input</x:v>
      </x:c>
    </x:row>
    <x:row r="206" ht="28" hidden="0" customHeight="1">
      <x:c r="A206" s="48" t="str">
        <x:v>x_r26_s3_m1</x:v>
      </x:c>
      <x:c r="B206" s="48" t="str">
        <x:v>r26</x:v>
      </x:c>
      <x:c r="C206" s="48" t="str">
        <x:v>CN-XZ</x:v>
      </x:c>
      <x:c r="D206" s="48" t="str">
        <x:v>Tibet</x:v>
      </x:c>
      <x:c r="E206" s="48" t="str">
        <x:v>西藏</x:v>
      </x:c>
      <x:c r="F206" s="48" t="n">
        <x:v>3</x:v>
      </x:c>
      <x:c r="G206" s="48" t="str">
        <x:v>marine_aquaculture</x:v>
      </x:c>
      <x:c r="H206" s="48" t="str">
        <x:v>海水养殖</x:v>
      </x:c>
      <x:c r="I206" s="48" t="n">
        <x:v>1</x:v>
      </x:c>
      <x:c r="J206" s="48" t="str">
        <x:v>fresh_sales</x:v>
      </x:c>
      <x:c r="K206" s="48" t="str">
        <x:v>鲜销</x:v>
      </x:c>
      <x:c r="L206" s="55" t="n">
        <x:v>391880.133861642</x:v>
      </x:c>
      <x:c r="M206" s="54" t="n">
        <x:v>0.01973543020792502</x:v>
      </x:c>
      <x:c r="N206" s="54" t="n">
        <x:v>0.48815883171375496</x:v>
      </x:c>
      <x:c r="O206" s="55" t="n">
        <x:v>199218.86662990725</x:v>
      </x:c>
      <x:c r="P206" s="55" t="n">
        <x:v>303703.0309622417</x:v>
      </x:c>
      <x:c r="Q206" s="55" t="n">
        <x:v>369086.96505644696</x:v>
      </x:c>
      <x:c r="R206" s="54" t="n">
        <x:v>0.84</x:v>
      </x:c>
      <x:c r="S206" s="54" t="n">
        <x:v>0.8</x:v>
      </x:c>
      <x:c r="T206" s="54" t="n">
        <x:v>0.33</x:v>
      </x:c>
      <x:c r="U206" s="54" t="n">
        <x:v>0.78</x:v>
      </x:c>
      <x:c r="V206" s="54" t="n">
        <x:v>0.11</x:v>
      </x:c>
      <x:c r="W206" s="53" t="str">
        <x:v>calibrated reconstruction; not historical author input</x:v>
      </x:c>
    </x:row>
    <x:row r="207" ht="28" hidden="0" customHeight="1">
      <x:c r="A207" s="48" t="str">
        <x:v>x_r26_s3_m2</x:v>
      </x:c>
      <x:c r="B207" s="48" t="str">
        <x:v>r26</x:v>
      </x:c>
      <x:c r="C207" s="48" t="str">
        <x:v>CN-XZ</x:v>
      </x:c>
      <x:c r="D207" s="48" t="str">
        <x:v>Tibet</x:v>
      </x:c>
      <x:c r="E207" s="48" t="str">
        <x:v>西藏</x:v>
      </x:c>
      <x:c r="F207" s="48" t="n">
        <x:v>3</x:v>
      </x:c>
      <x:c r="G207" s="48" t="str">
        <x:v>marine_aquaculture</x:v>
      </x:c>
      <x:c r="H207" s="48" t="str">
        <x:v>海水养殖</x:v>
      </x:c>
      <x:c r="I207" s="48" t="n">
        <x:v>2</x:v>
      </x:c>
      <x:c r="J207" s="48" t="str">
        <x:v>deep_processing</x:v>
      </x:c>
      <x:c r="K207" s="48" t="str">
        <x:v>深加工</x:v>
      </x:c>
      <x:c r="L207" s="55" t="n">
        <x:v>176062.08912624497</x:v>
      </x:c>
      <x:c r="M207" s="54" t="n">
        <x:v>0.01973543020792502</x:v>
      </x:c>
      <x:c r="N207" s="54" t="n">
        <x:v>0.48815883171375496</x:v>
      </x:c>
      <x:c r="O207" s="55" t="n">
        <x:v>199218.86662990725</x:v>
      </x:c>
      <x:c r="P207" s="55" t="n">
        <x:v>303703.0309622417</x:v>
      </x:c>
      <x:c r="Q207" s="55" t="n">
        <x:v>369086.96505644696</x:v>
      </x:c>
      <x:c r="R207" s="54" t="n">
        <x:v>1.02</x:v>
      </x:c>
      <x:c r="S207" s="54" t="n">
        <x:v>1.16</x:v>
      </x:c>
      <x:c r="T207" s="54" t="n">
        <x:v>0.41</x:v>
      </x:c>
      <x:c r="U207" s="54" t="n">
        <x:v>0.81</x:v>
      </x:c>
      <x:c r="V207" s="54" t="n">
        <x:v>0.11</x:v>
      </x:c>
      <x:c r="W207" s="53" t="str">
        <x:v>calibrated reconstruction; not historical author input</x:v>
      </x:c>
    </x:row>
    <x:row r="208" ht="28" hidden="0" customHeight="1">
      <x:c r="A208" s="48" t="str">
        <x:v>x_r26_s4_m1</x:v>
      </x:c>
      <x:c r="B208" s="48" t="str">
        <x:v>r26</x:v>
      </x:c>
      <x:c r="C208" s="48" t="str">
        <x:v>CN-XZ</x:v>
      </x:c>
      <x:c r="D208" s="48" t="str">
        <x:v>Tibet</x:v>
      </x:c>
      <x:c r="E208" s="48" t="str">
        <x:v>西藏</x:v>
      </x:c>
      <x:c r="F208" s="48" t="n">
        <x:v>4</x:v>
      </x:c>
      <x:c r="G208" s="48" t="str">
        <x:v>freshwater_aquaculture</x:v>
      </x:c>
      <x:c r="H208" s="48" t="str">
        <x:v>淡水养殖</x:v>
      </x:c>
      <x:c r="I208" s="48" t="n">
        <x:v>1</x:v>
      </x:c>
      <x:c r="J208" s="48" t="str">
        <x:v>fresh_sales</x:v>
      </x:c>
      <x:c r="K208" s="48" t="str">
        <x:v>鲜销</x:v>
      </x:c>
      <x:c r="L208" s="55" t="n">
        <x:v>557004.7006520074</x:v>
      </x:c>
      <x:c r="M208" s="54" t="n">
        <x:v>0.01973543020792502</x:v>
      </x:c>
      <x:c r="N208" s="54" t="n">
        <x:v>0.48815883171375496</x:v>
      </x:c>
      <x:c r="O208" s="55" t="n">
        <x:v>199218.86662990725</x:v>
      </x:c>
      <x:c r="P208" s="55" t="n">
        <x:v>303703.0309622417</x:v>
      </x:c>
      <x:c r="Q208" s="55" t="n">
        <x:v>369086.96505644696</x:v>
      </x:c>
      <x:c r="R208" s="54" t="n">
        <x:v>0.88</x:v>
      </x:c>
      <x:c r="S208" s="54" t="n">
        <x:v>0.84</x:v>
      </x:c>
      <x:c r="T208" s="54" t="n">
        <x:v>0.31</x:v>
      </x:c>
      <x:c r="U208" s="54" t="n">
        <x:v>0.88</x:v>
      </x:c>
      <x:c r="V208" s="54" t="n">
        <x:v>0.08</x:v>
      </x:c>
      <x:c r="W208" s="53" t="str">
        <x:v>calibrated reconstruction; not historical author input</x:v>
      </x:c>
    </x:row>
    <x:row r="209" ht="28" hidden="0" customHeight="1">
      <x:c r="A209" s="48" t="str">
        <x:v>x_r26_s4_m2</x:v>
      </x:c>
      <x:c r="B209" s="48" t="str">
        <x:v>r26</x:v>
      </x:c>
      <x:c r="C209" s="48" t="str">
        <x:v>CN-XZ</x:v>
      </x:c>
      <x:c r="D209" s="48" t="str">
        <x:v>Tibet</x:v>
      </x:c>
      <x:c r="E209" s="48" t="str">
        <x:v>西藏</x:v>
      </x:c>
      <x:c r="F209" s="48" t="n">
        <x:v>4</x:v>
      </x:c>
      <x:c r="G209" s="48" t="str">
        <x:v>freshwater_aquaculture</x:v>
      </x:c>
      <x:c r="H209" s="48" t="str">
        <x:v>淡水养殖</x:v>
      </x:c>
      <x:c r="I209" s="48" t="n">
        <x:v>2</x:v>
      </x:c>
      <x:c r="J209" s="48" t="str">
        <x:v>deep_processing</x:v>
      </x:c>
      <x:c r="K209" s="48" t="str">
        <x:v>深加工</x:v>
      </x:c>
      <x:c r="L209" s="55" t="n">
        <x:v>250248.48869872798</x:v>
      </x:c>
      <x:c r="M209" s="54" t="n">
        <x:v>0.01973543020792502</x:v>
      </x:c>
      <x:c r="N209" s="54" t="n">
        <x:v>0.48815883171375496</x:v>
      </x:c>
      <x:c r="O209" s="55" t="n">
        <x:v>199218.86662990725</x:v>
      </x:c>
      <x:c r="P209" s="55" t="n">
        <x:v>303703.0309622417</x:v>
      </x:c>
      <x:c r="Q209" s="55" t="n">
        <x:v>369086.96505644696</x:v>
      </x:c>
      <x:c r="R209" s="54" t="n">
        <x:v>1.06</x:v>
      </x:c>
      <x:c r="S209" s="54" t="n">
        <x:v>1.2</x:v>
      </x:c>
      <x:c r="T209" s="54" t="n">
        <x:v>0.39</x:v>
      </x:c>
      <x:c r="U209" s="54" t="n">
        <x:v>0.91</x:v>
      </x:c>
      <x:c r="V209" s="54" t="n">
        <x:v>0.08</x:v>
      </x:c>
      <x:c r="W209" s="53" t="str">
        <x:v>calibrated reconstruction; not historical author input</x:v>
      </x:c>
    </x:row>
    <x:row r="210" ht="28" hidden="0" customHeight="1">
      <x:c r="A210" s="48" t="str">
        <x:v>x_r27_s1_m1</x:v>
      </x:c>
      <x:c r="B210" s="48" t="str">
        <x:v>r27</x:v>
      </x:c>
      <x:c r="C210" s="48" t="str">
        <x:v>CN-SN</x:v>
      </x:c>
      <x:c r="D210" s="48" t="str">
        <x:v>Shaanxi</x:v>
      </x:c>
      <x:c r="E210" s="48" t="str">
        <x:v>陕西</x:v>
      </x:c>
      <x:c r="F210" s="48" t="n">
        <x:v>1</x:v>
      </x:c>
      <x:c r="G210" s="48" t="str">
        <x:v>marine_capture</x:v>
      </x:c>
      <x:c r="H210" s="48" t="str">
        <x:v>海洋捕捞</x:v>
      </x:c>
      <x:c r="I210" s="48" t="n">
        <x:v>1</x:v>
      </x:c>
      <x:c r="J210" s="48" t="str">
        <x:v>fresh_sales</x:v>
      </x:c>
      <x:c r="K210" s="48" t="str">
        <x:v>鲜销</x:v>
      </x:c>
      <x:c r="L210" s="55" t="n">
        <x:v>142737.77750944727</x:v>
      </x:c>
      <x:c r="M210" s="54" t="n">
        <x:v>0.01794437815521084</x:v>
      </x:c>
      <x:c r="N210" s="54" t="n">
        <x:v>0.5123833642682362</x:v>
      </x:c>
      <x:c r="O210" s="55" t="n">
        <x:v>179822.02797266233</x:v>
      </x:c>
      <x:c r="P210" s="55" t="n">
        <x:v>264201.52233587985</x:v>
      </x:c>
      <x:c r="Q210" s="55" t="n">
        <x:v>341275.5383390792</x:v>
      </x:c>
      <x:c r="R210" s="54" t="n">
        <x:v>0.65</x:v>
      </x:c>
      <x:c r="S210" s="54" t="n">
        <x:v>0.62</x:v>
      </x:c>
      <x:c r="T210" s="54" t="n">
        <x:v>0.29</x:v>
      </x:c>
      <x:c r="U210" s="54" t="n">
        <x:v>0.28</x:v>
      </x:c>
      <x:c r="V210" s="54" t="n">
        <x:v>1</x:v>
      </x:c>
      <x:c r="W210" s="53" t="str">
        <x:v>calibrated reconstruction; not historical author input</x:v>
      </x:c>
    </x:row>
    <x:row r="211" ht="28" hidden="0" customHeight="1">
      <x:c r="A211" s="48" t="str">
        <x:v>x_r27_s1_m2</x:v>
      </x:c>
      <x:c r="B211" s="48" t="str">
        <x:v>r27</x:v>
      </x:c>
      <x:c r="C211" s="48" t="str">
        <x:v>CN-SN</x:v>
      </x:c>
      <x:c r="D211" s="48" t="str">
        <x:v>Shaanxi</x:v>
      </x:c>
      <x:c r="E211" s="48" t="str">
        <x:v>陕西</x:v>
      </x:c>
      <x:c r="F211" s="48" t="n">
        <x:v>1</x:v>
      </x:c>
      <x:c r="G211" s="48" t="str">
        <x:v>marine_capture</x:v>
      </x:c>
      <x:c r="H211" s="48" t="str">
        <x:v>海洋捕捞</x:v>
      </x:c>
      <x:c r="I211" s="48" t="n">
        <x:v>2</x:v>
      </x:c>
      <x:c r="J211" s="48" t="str">
        <x:v>deep_processing</x:v>
      </x:c>
      <x:c r="K211" s="48" t="str">
        <x:v>深加工</x:v>
      </x:c>
      <x:c r="L211" s="55" t="n">
        <x:v>64128.566707142985</x:v>
      </x:c>
      <x:c r="M211" s="54" t="n">
        <x:v>0.01794437815521084</x:v>
      </x:c>
      <x:c r="N211" s="54" t="n">
        <x:v>0.5123833642682362</x:v>
      </x:c>
      <x:c r="O211" s="55" t="n">
        <x:v>179822.02797266233</x:v>
      </x:c>
      <x:c r="P211" s="55" t="n">
        <x:v>264201.52233587985</x:v>
      </x:c>
      <x:c r="Q211" s="55" t="n">
        <x:v>341275.5383390792</x:v>
      </x:c>
      <x:c r="R211" s="54" t="n">
        <x:v>0.82</x:v>
      </x:c>
      <x:c r="S211" s="54" t="n">
        <x:v>0.95</x:v>
      </x:c>
      <x:c r="T211" s="54" t="n">
        <x:v>0.36</x:v>
      </x:c>
      <x:c r="U211" s="54" t="n">
        <x:v>0.31</x:v>
      </x:c>
      <x:c r="V211" s="54" t="n">
        <x:v>1</x:v>
      </x:c>
      <x:c r="W211" s="53" t="str">
        <x:v>calibrated reconstruction; not historical author input</x:v>
      </x:c>
    </x:row>
    <x:row r="212" ht="28" hidden="0" customHeight="1">
      <x:c r="A212" s="48" t="str">
        <x:v>x_r27_s2_m1</x:v>
      </x:c>
      <x:c r="B212" s="48" t="str">
        <x:v>r27</x:v>
      </x:c>
      <x:c r="C212" s="48" t="str">
        <x:v>CN-SN</x:v>
      </x:c>
      <x:c r="D212" s="48" t="str">
        <x:v>Shaanxi</x:v>
      </x:c>
      <x:c r="E212" s="48" t="str">
        <x:v>陕西</x:v>
      </x:c>
      <x:c r="F212" s="48" t="n">
        <x:v>2</x:v>
      </x:c>
      <x:c r="G212" s="48" t="str">
        <x:v>freshwater_capture</x:v>
      </x:c>
      <x:c r="H212" s="48" t="str">
        <x:v>淡水捕捞</x:v>
      </x:c>
      <x:c r="I212" s="48" t="n">
        <x:v>1</x:v>
      </x:c>
      <x:c r="J212" s="48" t="str">
        <x:v>fresh_sales</x:v>
      </x:c>
      <x:c r="K212" s="48" t="str">
        <x:v>鲜销</x:v>
      </x:c>
      <x:c r="L212" s="55" t="n">
        <x:v>51808.526651577165</x:v>
      </x:c>
      <x:c r="M212" s="54" t="n">
        <x:v>0.01794437815521084</x:v>
      </x:c>
      <x:c r="N212" s="54" t="n">
        <x:v>0.5123833642682362</x:v>
      </x:c>
      <x:c r="O212" s="55" t="n">
        <x:v>179822.02797266233</x:v>
      </x:c>
      <x:c r="P212" s="55" t="n">
        <x:v>264201.52233587985</x:v>
      </x:c>
      <x:c r="Q212" s="55" t="n">
        <x:v>341275.5383390792</x:v>
      </x:c>
      <x:c r="R212" s="54" t="n">
        <x:v>0.7</x:v>
      </x:c>
      <x:c r="S212" s="54" t="n">
        <x:v>0.67</x:v>
      </x:c>
      <x:c r="T212" s="54" t="n">
        <x:v>0.26</x:v>
      </x:c>
      <x:c r="U212" s="54" t="n">
        <x:v>0.42</x:v>
      </x:c>
      <x:c r="V212" s="54" t="n">
        <x:v>0.7</x:v>
      </x:c>
      <x:c r="W212" s="53" t="str">
        <x:v>calibrated reconstruction; not historical author input</x:v>
      </x:c>
    </x:row>
    <x:row r="213" ht="28" hidden="0" customHeight="1">
      <x:c r="A213" s="48" t="str">
        <x:v>x_r27_s2_m2</x:v>
      </x:c>
      <x:c r="B213" s="48" t="str">
        <x:v>r27</x:v>
      </x:c>
      <x:c r="C213" s="48" t="str">
        <x:v>CN-SN</x:v>
      </x:c>
      <x:c r="D213" s="48" t="str">
        <x:v>Shaanxi</x:v>
      </x:c>
      <x:c r="E213" s="48" t="str">
        <x:v>陕西</x:v>
      </x:c>
      <x:c r="F213" s="48" t="n">
        <x:v>2</x:v>
      </x:c>
      <x:c r="G213" s="48" t="str">
        <x:v>freshwater_capture</x:v>
      </x:c>
      <x:c r="H213" s="48" t="str">
        <x:v>淡水捕捞</x:v>
      </x:c>
      <x:c r="I213" s="48" t="n">
        <x:v>2</x:v>
      </x:c>
      <x:c r="J213" s="48" t="str">
        <x:v>deep_processing</x:v>
      </x:c>
      <x:c r="K213" s="48" t="str">
        <x:v>深加工</x:v>
      </x:c>
      <x:c r="L213" s="55" t="n">
        <x:v>23276.29458259264</x:v>
      </x:c>
      <x:c r="M213" s="54" t="n">
        <x:v>0.01794437815521084</x:v>
      </x:c>
      <x:c r="N213" s="54" t="n">
        <x:v>0.5123833642682362</x:v>
      </x:c>
      <x:c r="O213" s="55" t="n">
        <x:v>179822.02797266233</x:v>
      </x:c>
      <x:c r="P213" s="55" t="n">
        <x:v>264201.52233587985</x:v>
      </x:c>
      <x:c r="Q213" s="55" t="n">
        <x:v>341275.5383390792</x:v>
      </x:c>
      <x:c r="R213" s="54" t="n">
        <x:v>0.86</x:v>
      </x:c>
      <x:c r="S213" s="54" t="n">
        <x:v>0.99</x:v>
      </x:c>
      <x:c r="T213" s="54" t="n">
        <x:v>0.34</x:v>
      </x:c>
      <x:c r="U213" s="54" t="n">
        <x:v>0.45</x:v>
      </x:c>
      <x:c r="V213" s="54" t="n">
        <x:v>0.7</x:v>
      </x:c>
      <x:c r="W213" s="53" t="str">
        <x:v>calibrated reconstruction; not historical author input</x:v>
      </x:c>
    </x:row>
    <x:row r="214" ht="28" hidden="0" customHeight="1">
      <x:c r="A214" s="48" t="str">
        <x:v>x_r27_s3_m1</x:v>
      </x:c>
      <x:c r="B214" s="48" t="str">
        <x:v>r27</x:v>
      </x:c>
      <x:c r="C214" s="48" t="str">
        <x:v>CN-SN</x:v>
      </x:c>
      <x:c r="D214" s="48" t="str">
        <x:v>Shaanxi</x:v>
      </x:c>
      <x:c r="E214" s="48" t="str">
        <x:v>陕西</x:v>
      </x:c>
      <x:c r="F214" s="48" t="n">
        <x:v>3</x:v>
      </x:c>
      <x:c r="G214" s="48" t="str">
        <x:v>marine_aquaculture</x:v>
      </x:c>
      <x:c r="H214" s="48" t="str">
        <x:v>海水养殖</x:v>
      </x:c>
      <x:c r="I214" s="48" t="n">
        <x:v>1</x:v>
      </x:c>
      <x:c r="J214" s="48" t="str">
        <x:v>fresh_sales</x:v>
      </x:c>
      <x:c r="K214" s="48" t="str">
        <x:v>鲜销</x:v>
      </x:c>
      <x:c r="L214" s="55" t="n">
        <x:v>356315.785338398</x:v>
      </x:c>
      <x:c r="M214" s="54" t="n">
        <x:v>0.01794437815521084</x:v>
      </x:c>
      <x:c r="N214" s="54" t="n">
        <x:v>0.5123833642682362</x:v>
      </x:c>
      <x:c r="O214" s="55" t="n">
        <x:v>179822.02797266233</x:v>
      </x:c>
      <x:c r="P214" s="55" t="n">
        <x:v>264201.52233587985</x:v>
      </x:c>
      <x:c r="Q214" s="55" t="n">
        <x:v>341275.5383390792</x:v>
      </x:c>
      <x:c r="R214" s="54" t="n">
        <x:v>0.84</x:v>
      </x:c>
      <x:c r="S214" s="54" t="n">
        <x:v>0.8</x:v>
      </x:c>
      <x:c r="T214" s="54" t="n">
        <x:v>0.33</x:v>
      </x:c>
      <x:c r="U214" s="54" t="n">
        <x:v>0.78</x:v>
      </x:c>
      <x:c r="V214" s="54" t="n">
        <x:v>0.11</x:v>
      </x:c>
      <x:c r="W214" s="53" t="str">
        <x:v>calibrated reconstruction; not historical author input</x:v>
      </x:c>
    </x:row>
    <x:row r="215" ht="28" hidden="0" customHeight="1">
      <x:c r="A215" s="48" t="str">
        <x:v>x_r27_s3_m2</x:v>
      </x:c>
      <x:c r="B215" s="48" t="str">
        <x:v>r27</x:v>
      </x:c>
      <x:c r="C215" s="48" t="str">
        <x:v>CN-SN</x:v>
      </x:c>
      <x:c r="D215" s="48" t="str">
        <x:v>Shaanxi</x:v>
      </x:c>
      <x:c r="E215" s="48" t="str">
        <x:v>陕西</x:v>
      </x:c>
      <x:c r="F215" s="48" t="n">
        <x:v>3</x:v>
      </x:c>
      <x:c r="G215" s="48" t="str">
        <x:v>marine_aquaculture</x:v>
      </x:c>
      <x:c r="H215" s="48" t="str">
        <x:v>海水养殖</x:v>
      </x:c>
      <x:c r="I215" s="48" t="n">
        <x:v>2</x:v>
      </x:c>
      <x:c r="J215" s="48" t="str">
        <x:v>deep_processing</x:v>
      </x:c>
      <x:c r="K215" s="48" t="str">
        <x:v>深加工</x:v>
      </x:c>
      <x:c r="L215" s="55" t="n">
        <x:v>160083.903557831</x:v>
      </x:c>
      <x:c r="M215" s="54" t="n">
        <x:v>0.01794437815521084</x:v>
      </x:c>
      <x:c r="N215" s="54" t="n">
        <x:v>0.5123833642682362</x:v>
      </x:c>
      <x:c r="O215" s="55" t="n">
        <x:v>179822.02797266233</x:v>
      </x:c>
      <x:c r="P215" s="55" t="n">
        <x:v>264201.52233587985</x:v>
      </x:c>
      <x:c r="Q215" s="55" t="n">
        <x:v>341275.5383390792</x:v>
      </x:c>
      <x:c r="R215" s="54" t="n">
        <x:v>1.02</x:v>
      </x:c>
      <x:c r="S215" s="54" t="n">
        <x:v>1.16</x:v>
      </x:c>
      <x:c r="T215" s="54" t="n">
        <x:v>0.41</x:v>
      </x:c>
      <x:c r="U215" s="54" t="n">
        <x:v>0.81</x:v>
      </x:c>
      <x:c r="V215" s="54" t="n">
        <x:v>0.11</x:v>
      </x:c>
      <x:c r="W215" s="53" t="str">
        <x:v>calibrated reconstruction; not historical author input</x:v>
      </x:c>
    </x:row>
    <x:row r="216" ht="28" hidden="0" customHeight="1">
      <x:c r="A216" s="48" t="str">
        <x:v>x_r27_s4_m1</x:v>
      </x:c>
      <x:c r="B216" s="48" t="str">
        <x:v>r27</x:v>
      </x:c>
      <x:c r="C216" s="48" t="str">
        <x:v>CN-SN</x:v>
      </x:c>
      <x:c r="D216" s="48" t="str">
        <x:v>Shaanxi</x:v>
      </x:c>
      <x:c r="E216" s="48" t="str">
        <x:v>陕西</x:v>
      </x:c>
      <x:c r="F216" s="48" t="n">
        <x:v>4</x:v>
      </x:c>
      <x:c r="G216" s="48" t="str">
        <x:v>freshwater_aquaculture</x:v>
      </x:c>
      <x:c r="H216" s="48" t="str">
        <x:v>淡水养殖</x:v>
      </x:c>
      <x:c r="I216" s="48" t="n">
        <x:v>1</x:v>
      </x:c>
      <x:c r="J216" s="48" t="str">
        <x:v>fresh_sales</x:v>
      </x:c>
      <x:c r="K216" s="48" t="str">
        <x:v>鲜销</x:v>
      </x:c>
      <x:c r="L216" s="55" t="n">
        <x:v>506454.78094092774</x:v>
      </x:c>
      <x:c r="M216" s="54" t="n">
        <x:v>0.01794437815521084</x:v>
      </x:c>
      <x:c r="N216" s="54" t="n">
        <x:v>0.5123833642682362</x:v>
      </x:c>
      <x:c r="O216" s="55" t="n">
        <x:v>179822.02797266233</x:v>
      </x:c>
      <x:c r="P216" s="55" t="n">
        <x:v>264201.52233587985</x:v>
      </x:c>
      <x:c r="Q216" s="55" t="n">
        <x:v>341275.5383390792</x:v>
      </x:c>
      <x:c r="R216" s="54" t="n">
        <x:v>0.88</x:v>
      </x:c>
      <x:c r="S216" s="54" t="n">
        <x:v>0.84</x:v>
      </x:c>
      <x:c r="T216" s="54" t="n">
        <x:v>0.31</x:v>
      </x:c>
      <x:c r="U216" s="54" t="n">
        <x:v>0.88</x:v>
      </x:c>
      <x:c r="V216" s="54" t="n">
        <x:v>0.08</x:v>
      </x:c>
      <x:c r="W216" s="53" t="str">
        <x:v>calibrated reconstruction; not historical author input</x:v>
      </x:c>
    </x:row>
    <x:row r="217" ht="28" hidden="0" customHeight="1">
      <x:c r="A217" s="48" t="str">
        <x:v>x_r27_s4_m2</x:v>
      </x:c>
      <x:c r="B217" s="48" t="str">
        <x:v>r27</x:v>
      </x:c>
      <x:c r="C217" s="48" t="str">
        <x:v>CN-SN</x:v>
      </x:c>
      <x:c r="D217" s="48" t="str">
        <x:v>Shaanxi</x:v>
      </x:c>
      <x:c r="E217" s="48" t="str">
        <x:v>陕西</x:v>
      </x:c>
      <x:c r="F217" s="48" t="n">
        <x:v>4</x:v>
      </x:c>
      <x:c r="G217" s="48" t="str">
        <x:v>freshwater_aquaculture</x:v>
      </x:c>
      <x:c r="H217" s="48" t="str">
        <x:v>淡水养殖</x:v>
      </x:c>
      <x:c r="I217" s="48" t="n">
        <x:v>2</x:v>
      </x:c>
      <x:c r="J217" s="48" t="str">
        <x:v>deep_processing</x:v>
      </x:c>
      <x:c r="K217" s="48" t="str">
        <x:v>深加工</x:v>
      </x:c>
      <x:c r="L217" s="55" t="n">
        <x:v>227537.65520534434</x:v>
      </x:c>
      <x:c r="M217" s="54" t="n">
        <x:v>0.01794437815521084</x:v>
      </x:c>
      <x:c r="N217" s="54" t="n">
        <x:v>0.5123833642682362</x:v>
      </x:c>
      <x:c r="O217" s="55" t="n">
        <x:v>179822.02797266233</x:v>
      </x:c>
      <x:c r="P217" s="55" t="n">
        <x:v>264201.52233587985</x:v>
      </x:c>
      <x:c r="Q217" s="55" t="n">
        <x:v>341275.5383390792</x:v>
      </x:c>
      <x:c r="R217" s="54" t="n">
        <x:v>1.06</x:v>
      </x:c>
      <x:c r="S217" s="54" t="n">
        <x:v>1.2</x:v>
      </x:c>
      <x:c r="T217" s="54" t="n">
        <x:v>0.39</x:v>
      </x:c>
      <x:c r="U217" s="54" t="n">
        <x:v>0.91</x:v>
      </x:c>
      <x:c r="V217" s="54" t="n">
        <x:v>0.08</x:v>
      </x:c>
      <x:c r="W217" s="53" t="str">
        <x:v>calibrated reconstruction; not historical author input</x:v>
      </x:c>
    </x:row>
    <x:row r="218" ht="28" hidden="0" customHeight="1">
      <x:c r="A218" s="48" t="str">
        <x:v>x_r28_s1_m1</x:v>
      </x:c>
      <x:c r="B218" s="48" t="str">
        <x:v>r28</x:v>
      </x:c>
      <x:c r="C218" s="48" t="str">
        <x:v>CN-GS</x:v>
      </x:c>
      <x:c r="D218" s="48" t="str">
        <x:v>Gansu</x:v>
      </x:c>
      <x:c r="E218" s="48" t="str">
        <x:v>甘肃</x:v>
      </x:c>
      <x:c r="F218" s="48" t="n">
        <x:v>1</x:v>
      </x:c>
      <x:c r="G218" s="48" t="str">
        <x:v>marine_capture</x:v>
      </x:c>
      <x:c r="H218" s="48" t="str">
        <x:v>海洋捕捞</x:v>
      </x:c>
      <x:c r="I218" s="48" t="n">
        <x:v>1</x:v>
      </x:c>
      <x:c r="J218" s="48" t="str">
        <x:v>fresh_sales</x:v>
      </x:c>
      <x:c r="K218" s="48" t="str">
        <x:v>鲜销</x:v>
      </x:c>
      <x:c r="L218" s="55" t="n">
        <x:v>148064.2265383696</x:v>
      </x:c>
      <x:c r="M218" s="54" t="n">
        <x:v>0.018613996368883192</x:v>
      </x:c>
      <x:c r="N218" s="54" t="n">
        <x:v>0.571404276192481</x:v>
      </x:c>
      <x:c r="O218" s="55" t="n">
        <x:v>196191.38792125433</x:v>
      </x:c>
      <x:c r="P218" s="55" t="n">
        <x:v>261675.50503359202</x:v>
      </x:c>
      <x:c r="Q218" s="55" t="n">
        <x:v>343321.56225335127</x:v>
      </x:c>
      <x:c r="R218" s="54" t="n">
        <x:v>0.65</x:v>
      </x:c>
      <x:c r="S218" s="54" t="n">
        <x:v>0.62</x:v>
      </x:c>
      <x:c r="T218" s="54" t="n">
        <x:v>0.29</x:v>
      </x:c>
      <x:c r="U218" s="54" t="n">
        <x:v>0.28</x:v>
      </x:c>
      <x:c r="V218" s="54" t="n">
        <x:v>1</x:v>
      </x:c>
      <x:c r="W218" s="53" t="str">
        <x:v>calibrated reconstruction; not historical author input</x:v>
      </x:c>
    </x:row>
    <x:row r="219" ht="28" hidden="0" customHeight="1">
      <x:c r="A219" s="48" t="str">
        <x:v>x_r28_s1_m2</x:v>
      </x:c>
      <x:c r="B219" s="48" t="str">
        <x:v>r28</x:v>
      </x:c>
      <x:c r="C219" s="48" t="str">
        <x:v>CN-GS</x:v>
      </x:c>
      <x:c r="D219" s="48" t="str">
        <x:v>Gansu</x:v>
      </x:c>
      <x:c r="E219" s="48" t="str">
        <x:v>甘肃</x:v>
      </x:c>
      <x:c r="F219" s="48" t="n">
        <x:v>1</x:v>
      </x:c>
      <x:c r="G219" s="48" t="str">
        <x:v>marine_capture</x:v>
      </x:c>
      <x:c r="H219" s="48" t="str">
        <x:v>海洋捕捞</x:v>
      </x:c>
      <x:c r="I219" s="48" t="n">
        <x:v>2</x:v>
      </x:c>
      <x:c r="J219" s="48" t="str">
        <x:v>deep_processing</x:v>
      </x:c>
      <x:c r="K219" s="48" t="str">
        <x:v>深加工</x:v>
      </x:c>
      <x:c r="L219" s="55" t="n">
        <x:v>66521.6090244849</x:v>
      </x:c>
      <x:c r="M219" s="54" t="n">
        <x:v>0.018613996368883192</x:v>
      </x:c>
      <x:c r="N219" s="54" t="n">
        <x:v>0.571404276192481</x:v>
      </x:c>
      <x:c r="O219" s="55" t="n">
        <x:v>196191.38792125433</x:v>
      </x:c>
      <x:c r="P219" s="55" t="n">
        <x:v>261675.50503359202</x:v>
      </x:c>
      <x:c r="Q219" s="55" t="n">
        <x:v>343321.56225335127</x:v>
      </x:c>
      <x:c r="R219" s="54" t="n">
        <x:v>0.82</x:v>
      </x:c>
      <x:c r="S219" s="54" t="n">
        <x:v>0.95</x:v>
      </x:c>
      <x:c r="T219" s="54" t="n">
        <x:v>0.36</x:v>
      </x:c>
      <x:c r="U219" s="54" t="n">
        <x:v>0.31</x:v>
      </x:c>
      <x:c r="V219" s="54" t="n">
        <x:v>1</x:v>
      </x:c>
      <x:c r="W219" s="53" t="str">
        <x:v>calibrated reconstruction; not historical author input</x:v>
      </x:c>
    </x:row>
    <x:row r="220" ht="28" hidden="0" customHeight="1">
      <x:c r="A220" s="48" t="str">
        <x:v>x_r28_s2_m1</x:v>
      </x:c>
      <x:c r="B220" s="48" t="str">
        <x:v>r28</x:v>
      </x:c>
      <x:c r="C220" s="48" t="str">
        <x:v>CN-GS</x:v>
      </x:c>
      <x:c r="D220" s="48" t="str">
        <x:v>Gansu</x:v>
      </x:c>
      <x:c r="E220" s="48" t="str">
        <x:v>甘肃</x:v>
      </x:c>
      <x:c r="F220" s="48" t="n">
        <x:v>2</x:v>
      </x:c>
      <x:c r="G220" s="48" t="str">
        <x:v>freshwater_capture</x:v>
      </x:c>
      <x:c r="H220" s="48" t="str">
        <x:v>淡水捕捞</x:v>
      </x:c>
      <x:c r="I220" s="48" t="n">
        <x:v>1</x:v>
      </x:c>
      <x:c r="J220" s="48" t="str">
        <x:v>fresh_sales</x:v>
      </x:c>
      <x:c r="K220" s="48" t="str">
        <x:v>鲜销</x:v>
      </x:c>
      <x:c r="L220" s="55" t="n">
        <x:v>53741.83037318601</x:v>
      </x:c>
      <x:c r="M220" s="54" t="n">
        <x:v>0.018613996368883192</x:v>
      </x:c>
      <x:c r="N220" s="54" t="n">
        <x:v>0.571404276192481</x:v>
      </x:c>
      <x:c r="O220" s="55" t="n">
        <x:v>196191.38792125433</x:v>
      </x:c>
      <x:c r="P220" s="55" t="n">
        <x:v>261675.50503359202</x:v>
      </x:c>
      <x:c r="Q220" s="55" t="n">
        <x:v>343321.56225335127</x:v>
      </x:c>
      <x:c r="R220" s="54" t="n">
        <x:v>0.7</x:v>
      </x:c>
      <x:c r="S220" s="54" t="n">
        <x:v>0.67</x:v>
      </x:c>
      <x:c r="T220" s="54" t="n">
        <x:v>0.26</x:v>
      </x:c>
      <x:c r="U220" s="54" t="n">
        <x:v>0.42</x:v>
      </x:c>
      <x:c r="V220" s="54" t="n">
        <x:v>0.7</x:v>
      </x:c>
      <x:c r="W220" s="53" t="str">
        <x:v>calibrated reconstruction; not historical author input</x:v>
      </x:c>
    </x:row>
    <x:row r="221" ht="28" hidden="0" customHeight="1">
      <x:c r="A221" s="48" t="str">
        <x:v>x_r28_s2_m2</x:v>
      </x:c>
      <x:c r="B221" s="48" t="str">
        <x:v>r28</x:v>
      </x:c>
      <x:c r="C221" s="48" t="str">
        <x:v>CN-GS</x:v>
      </x:c>
      <x:c r="D221" s="48" t="str">
        <x:v>Gansu</x:v>
      </x:c>
      <x:c r="E221" s="48" t="str">
        <x:v>甘肃</x:v>
      </x:c>
      <x:c r="F221" s="48" t="n">
        <x:v>2</x:v>
      </x:c>
      <x:c r="G221" s="48" t="str">
        <x:v>freshwater_capture</x:v>
      </x:c>
      <x:c r="H221" s="48" t="str">
        <x:v>淡水捕捞</x:v>
      </x:c>
      <x:c r="I221" s="48" t="n">
        <x:v>2</x:v>
      </x:c>
      <x:c r="J221" s="48" t="str">
        <x:v>deep_processing</x:v>
      </x:c>
      <x:c r="K221" s="48" t="str">
        <x:v>深加工</x:v>
      </x:c>
      <x:c r="L221" s="55" t="n">
        <x:v>24144.880312590816</x:v>
      </x:c>
      <x:c r="M221" s="54" t="n">
        <x:v>0.018613996368883192</x:v>
      </x:c>
      <x:c r="N221" s="54" t="n">
        <x:v>0.571404276192481</x:v>
      </x:c>
      <x:c r="O221" s="55" t="n">
        <x:v>196191.38792125433</x:v>
      </x:c>
      <x:c r="P221" s="55" t="n">
        <x:v>261675.50503359202</x:v>
      </x:c>
      <x:c r="Q221" s="55" t="n">
        <x:v>343321.56225335127</x:v>
      </x:c>
      <x:c r="R221" s="54" t="n">
        <x:v>0.86</x:v>
      </x:c>
      <x:c r="S221" s="54" t="n">
        <x:v>0.99</x:v>
      </x:c>
      <x:c r="T221" s="54" t="n">
        <x:v>0.34</x:v>
      </x:c>
      <x:c r="U221" s="54" t="n">
        <x:v>0.45</x:v>
      </x:c>
      <x:c r="V221" s="54" t="n">
        <x:v>0.7</x:v>
      </x:c>
      <x:c r="W221" s="53" t="str">
        <x:v>calibrated reconstruction; not historical author input</x:v>
      </x:c>
    </x:row>
    <x:row r="222" ht="28" hidden="0" customHeight="1">
      <x:c r="A222" s="48" t="str">
        <x:v>x_r28_s3_m1</x:v>
      </x:c>
      <x:c r="B222" s="48" t="str">
        <x:v>r28</x:v>
      </x:c>
      <x:c r="C222" s="48" t="str">
        <x:v>CN-GS</x:v>
      </x:c>
      <x:c r="D222" s="48" t="str">
        <x:v>Gansu</x:v>
      </x:c>
      <x:c r="E222" s="48" t="str">
        <x:v>甘肃</x:v>
      </x:c>
      <x:c r="F222" s="48" t="n">
        <x:v>3</x:v>
      </x:c>
      <x:c r="G222" s="48" t="str">
        <x:v>marine_aquaculture</x:v>
      </x:c>
      <x:c r="H222" s="48" t="str">
        <x:v>海水养殖</x:v>
      </x:c>
      <x:c r="I222" s="48" t="n">
        <x:v>1</x:v>
      </x:c>
      <x:c r="J222" s="48" t="str">
        <x:v>fresh_sales</x:v>
      </x:c>
      <x:c r="K222" s="48" t="str">
        <x:v>鲜销</x:v>
      </x:c>
      <x:c r="L222" s="55" t="n">
        <x:v>369612.1803217078</x:v>
      </x:c>
      <x:c r="M222" s="54" t="n">
        <x:v>0.018613996368883192</x:v>
      </x:c>
      <x:c r="N222" s="54" t="n">
        <x:v>0.571404276192481</x:v>
      </x:c>
      <x:c r="O222" s="55" t="n">
        <x:v>196191.38792125433</x:v>
      </x:c>
      <x:c r="P222" s="55" t="n">
        <x:v>261675.50503359202</x:v>
      </x:c>
      <x:c r="Q222" s="55" t="n">
        <x:v>343321.56225335127</x:v>
      </x:c>
      <x:c r="R222" s="54" t="n">
        <x:v>0.84</x:v>
      </x:c>
      <x:c r="S222" s="54" t="n">
        <x:v>0.8</x:v>
      </x:c>
      <x:c r="T222" s="54" t="n">
        <x:v>0.33</x:v>
      </x:c>
      <x:c r="U222" s="54" t="n">
        <x:v>0.78</x:v>
      </x:c>
      <x:c r="V222" s="54" t="n">
        <x:v>0.11</x:v>
      </x:c>
      <x:c r="W222" s="53" t="str">
        <x:v>calibrated reconstruction; not historical author input</x:v>
      </x:c>
    </x:row>
    <x:row r="223" ht="28" hidden="0" customHeight="1">
      <x:c r="A223" s="48" t="str">
        <x:v>x_r28_s3_m2</x:v>
      </x:c>
      <x:c r="B223" s="48" t="str">
        <x:v>r28</x:v>
      </x:c>
      <x:c r="C223" s="48" t="str">
        <x:v>CN-GS</x:v>
      </x:c>
      <x:c r="D223" s="48" t="str">
        <x:v>Gansu</x:v>
      </x:c>
      <x:c r="E223" s="48" t="str">
        <x:v>甘肃</x:v>
      </x:c>
      <x:c r="F223" s="48" t="n">
        <x:v>3</x:v>
      </x:c>
      <x:c r="G223" s="48" t="str">
        <x:v>marine_aquaculture</x:v>
      </x:c>
      <x:c r="H223" s="48" t="str">
        <x:v>海水养殖</x:v>
      </x:c>
      <x:c r="I223" s="48" t="n">
        <x:v>2</x:v>
      </x:c>
      <x:c r="J223" s="48" t="str">
        <x:v>deep_processing</x:v>
      </x:c>
      <x:c r="K223" s="48" t="str">
        <x:v>深加工</x:v>
      </x:c>
      <x:c r="L223" s="55" t="n">
        <x:v>166057.64623149193</x:v>
      </x:c>
      <x:c r="M223" s="54" t="n">
        <x:v>0.018613996368883192</x:v>
      </x:c>
      <x:c r="N223" s="54" t="n">
        <x:v>0.571404276192481</x:v>
      </x:c>
      <x:c r="O223" s="55" t="n">
        <x:v>196191.38792125433</x:v>
      </x:c>
      <x:c r="P223" s="55" t="n">
        <x:v>261675.50503359202</x:v>
      </x:c>
      <x:c r="Q223" s="55" t="n">
        <x:v>343321.56225335127</x:v>
      </x:c>
      <x:c r="R223" s="54" t="n">
        <x:v>1.02</x:v>
      </x:c>
      <x:c r="S223" s="54" t="n">
        <x:v>1.16</x:v>
      </x:c>
      <x:c r="T223" s="54" t="n">
        <x:v>0.41</x:v>
      </x:c>
      <x:c r="U223" s="54" t="n">
        <x:v>0.81</x:v>
      </x:c>
      <x:c r="V223" s="54" t="n">
        <x:v>0.11</x:v>
      </x:c>
      <x:c r="W223" s="53" t="str">
        <x:v>calibrated reconstruction; not historical author input</x:v>
      </x:c>
    </x:row>
    <x:row r="224" ht="28" hidden="0" customHeight="1">
      <x:c r="A224" s="48" t="str">
        <x:v>x_r28_s4_m1</x:v>
      </x:c>
      <x:c r="B224" s="48" t="str">
        <x:v>r28</x:v>
      </x:c>
      <x:c r="C224" s="48" t="str">
        <x:v>CN-GS</x:v>
      </x:c>
      <x:c r="D224" s="48" t="str">
        <x:v>Gansu</x:v>
      </x:c>
      <x:c r="E224" s="48" t="str">
        <x:v>甘肃</x:v>
      </x:c>
      <x:c r="F224" s="48" t="n">
        <x:v>4</x:v>
      </x:c>
      <x:c r="G224" s="48" t="str">
        <x:v>freshwater_aquaculture</x:v>
      </x:c>
      <x:c r="H224" s="48" t="str">
        <x:v>淡水养殖</x:v>
      </x:c>
      <x:c r="I224" s="48" t="n">
        <x:v>1</x:v>
      </x:c>
      <x:c r="J224" s="48" t="str">
        <x:v>fresh_sales</x:v>
      </x:c>
      <x:c r="K224" s="48" t="str">
        <x:v>鲜销</x:v>
      </x:c>
      <x:c r="L224" s="55" t="n">
        <x:v>525353.811199104</x:v>
      </x:c>
      <x:c r="M224" s="54" t="n">
        <x:v>0.018613996368883192</x:v>
      </x:c>
      <x:c r="N224" s="54" t="n">
        <x:v>0.571404276192481</x:v>
      </x:c>
      <x:c r="O224" s="55" t="n">
        <x:v>196191.38792125433</x:v>
      </x:c>
      <x:c r="P224" s="55" t="n">
        <x:v>261675.50503359202</x:v>
      </x:c>
      <x:c r="Q224" s="55" t="n">
        <x:v>343321.56225335127</x:v>
      </x:c>
      <x:c r="R224" s="54" t="n">
        <x:v>0.88</x:v>
      </x:c>
      <x:c r="S224" s="54" t="n">
        <x:v>0.84</x:v>
      </x:c>
      <x:c r="T224" s="54" t="n">
        <x:v>0.31</x:v>
      </x:c>
      <x:c r="U224" s="54" t="n">
        <x:v>0.88</x:v>
      </x:c>
      <x:c r="V224" s="54" t="n">
        <x:v>0.08</x:v>
      </x:c>
      <x:c r="W224" s="53" t="str">
        <x:v>calibrated reconstruction; not historical author input</x:v>
      </x:c>
    </x:row>
    <x:row r="225" ht="28" hidden="0" customHeight="1">
      <x:c r="A225" s="48" t="str">
        <x:v>x_r28_s4_m2</x:v>
      </x:c>
      <x:c r="B225" s="48" t="str">
        <x:v>r28</x:v>
      </x:c>
      <x:c r="C225" s="48" t="str">
        <x:v>CN-GS</x:v>
      </x:c>
      <x:c r="D225" s="48" t="str">
        <x:v>Gansu</x:v>
      </x:c>
      <x:c r="E225" s="48" t="str">
        <x:v>甘肃</x:v>
      </x:c>
      <x:c r="F225" s="48" t="n">
        <x:v>4</x:v>
      </x:c>
      <x:c r="G225" s="48" t="str">
        <x:v>freshwater_aquaculture</x:v>
      </x:c>
      <x:c r="H225" s="48" t="str">
        <x:v>淡水养殖</x:v>
      </x:c>
      <x:c r="I225" s="48" t="n">
        <x:v>2</x:v>
      </x:c>
      <x:c r="J225" s="48" t="str">
        <x:v>deep_processing</x:v>
      </x:c>
      <x:c r="K225" s="48" t="str">
        <x:v>深加工</x:v>
      </x:c>
      <x:c r="L225" s="55" t="n">
        <x:v>236028.52387206123</x:v>
      </x:c>
      <x:c r="M225" s="54" t="n">
        <x:v>0.018613996368883192</x:v>
      </x:c>
      <x:c r="N225" s="54" t="n">
        <x:v>0.571404276192481</x:v>
      </x:c>
      <x:c r="O225" s="55" t="n">
        <x:v>196191.38792125433</x:v>
      </x:c>
      <x:c r="P225" s="55" t="n">
        <x:v>261675.50503359202</x:v>
      </x:c>
      <x:c r="Q225" s="55" t="n">
        <x:v>343321.56225335127</x:v>
      </x:c>
      <x:c r="R225" s="54" t="n">
        <x:v>1.06</x:v>
      </x:c>
      <x:c r="S225" s="54" t="n">
        <x:v>1.2</x:v>
      </x:c>
      <x:c r="T225" s="54" t="n">
        <x:v>0.39</x:v>
      </x:c>
      <x:c r="U225" s="54" t="n">
        <x:v>0.91</x:v>
      </x:c>
      <x:c r="V225" s="54" t="n">
        <x:v>0.08</x:v>
      </x:c>
      <x:c r="W225" s="53" t="str">
        <x:v>calibrated reconstruction; not historical author input</x:v>
      </x:c>
    </x:row>
    <x:row r="226" ht="28" hidden="0" customHeight="1">
      <x:c r="A226" s="48" t="str">
        <x:v>x_r29_s1_m1</x:v>
      </x:c>
      <x:c r="B226" s="48" t="str">
        <x:v>r29</x:v>
      </x:c>
      <x:c r="C226" s="48" t="str">
        <x:v>CN-QH</x:v>
      </x:c>
      <x:c r="D226" s="48" t="str">
        <x:v>Qinghai</x:v>
      </x:c>
      <x:c r="E226" s="48" t="str">
        <x:v>青海</x:v>
      </x:c>
      <x:c r="F226" s="48" t="n">
        <x:v>1</x:v>
      </x:c>
      <x:c r="G226" s="48" t="str">
        <x:v>marine_capture</x:v>
      </x:c>
      <x:c r="H226" s="48" t="str">
        <x:v>海洋捕捞</x:v>
      </x:c>
      <x:c r="I226" s="48" t="n">
        <x:v>1</x:v>
      </x:c>
      <x:c r="J226" s="48" t="str">
        <x:v>fresh_sales</x:v>
      </x:c>
      <x:c r="K226" s="48" t="str">
        <x:v>鲜销</x:v>
      </x:c>
      <x:c r="L226" s="55" t="n">
        <x:v>132177.56071328424</x:v>
      </x:c>
      <x:c r="M226" s="54" t="n">
        <x:v>0.016616793216606786</x:v>
      </x:c>
      <x:c r="N226" s="54" t="n">
        <x:v>0.5173071504287805</x:v>
      </x:c>
      <x:c r="O226" s="55" t="n">
        <x:v>175064.82028669296</x:v>
      </x:c>
      <x:c r="P226" s="55" t="n">
        <x:v>222542.6456095911</x:v>
      </x:c>
      <x:c r="Q226" s="55" t="n">
        <x:v>326063.53700724954</x:v>
      </x:c>
      <x:c r="R226" s="54" t="n">
        <x:v>0.65</x:v>
      </x:c>
      <x:c r="S226" s="54" t="n">
        <x:v>0.62</x:v>
      </x:c>
      <x:c r="T226" s="54" t="n">
        <x:v>0.29</x:v>
      </x:c>
      <x:c r="U226" s="54" t="n">
        <x:v>0.28</x:v>
      </x:c>
      <x:c r="V226" s="54" t="n">
        <x:v>1</x:v>
      </x:c>
      <x:c r="W226" s="53" t="str">
        <x:v>calibrated reconstruction; not historical author input</x:v>
      </x:c>
    </x:row>
    <x:row r="227" ht="28" hidden="0" customHeight="1">
      <x:c r="A227" s="48" t="str">
        <x:v>x_r29_s1_m2</x:v>
      </x:c>
      <x:c r="B227" s="48" t="str">
        <x:v>r29</x:v>
      </x:c>
      <x:c r="C227" s="48" t="str">
        <x:v>CN-QH</x:v>
      </x:c>
      <x:c r="D227" s="48" t="str">
        <x:v>Qinghai</x:v>
      </x:c>
      <x:c r="E227" s="48" t="str">
        <x:v>青海</x:v>
      </x:c>
      <x:c r="F227" s="48" t="n">
        <x:v>1</x:v>
      </x:c>
      <x:c r="G227" s="48" t="str">
        <x:v>marine_capture</x:v>
      </x:c>
      <x:c r="H227" s="48" t="str">
        <x:v>海洋捕捞</x:v>
      </x:c>
      <x:c r="I227" s="48" t="n">
        <x:v>2</x:v>
      </x:c>
      <x:c r="J227" s="48" t="str">
        <x:v>deep_processing</x:v>
      </x:c>
      <x:c r="K227" s="48" t="str">
        <x:v>深加工</x:v>
      </x:c>
      <x:c r="L227" s="55" t="n">
        <x:v>59384.12147988133</x:v>
      </x:c>
      <x:c r="M227" s="54" t="n">
        <x:v>0.016616793216606786</x:v>
      </x:c>
      <x:c r="N227" s="54" t="n">
        <x:v>0.5173071504287805</x:v>
      </x:c>
      <x:c r="O227" s="55" t="n">
        <x:v>175064.82028669296</x:v>
      </x:c>
      <x:c r="P227" s="55" t="n">
        <x:v>222542.6456095911</x:v>
      </x:c>
      <x:c r="Q227" s="55" t="n">
        <x:v>326063.53700724954</x:v>
      </x:c>
      <x:c r="R227" s="54" t="n">
        <x:v>0.82</x:v>
      </x:c>
      <x:c r="S227" s="54" t="n">
        <x:v>0.95</x:v>
      </x:c>
      <x:c r="T227" s="54" t="n">
        <x:v>0.36</x:v>
      </x:c>
      <x:c r="U227" s="54" t="n">
        <x:v>0.31</x:v>
      </x:c>
      <x:c r="V227" s="54" t="n">
        <x:v>1</x:v>
      </x:c>
      <x:c r="W227" s="53" t="str">
        <x:v>calibrated reconstruction; not historical author input</x:v>
      </x:c>
    </x:row>
    <x:row r="228" ht="28" hidden="0" customHeight="1">
      <x:c r="A228" s="48" t="str">
        <x:v>x_r29_s2_m1</x:v>
      </x:c>
      <x:c r="B228" s="48" t="str">
        <x:v>r29</x:v>
      </x:c>
      <x:c r="C228" s="48" t="str">
        <x:v>CN-QH</x:v>
      </x:c>
      <x:c r="D228" s="48" t="str">
        <x:v>Qinghai</x:v>
      </x:c>
      <x:c r="E228" s="48" t="str">
        <x:v>青海</x:v>
      </x:c>
      <x:c r="F228" s="48" t="n">
        <x:v>2</x:v>
      </x:c>
      <x:c r="G228" s="48" t="str">
        <x:v>freshwater_capture</x:v>
      </x:c>
      <x:c r="H228" s="48" t="str">
        <x:v>淡水捕捞</x:v>
      </x:c>
      <x:c r="I228" s="48" t="n">
        <x:v>1</x:v>
      </x:c>
      <x:c r="J228" s="48" t="str">
        <x:v>fresh_sales</x:v>
      </x:c>
      <x:c r="K228" s="48" t="str">
        <x:v>鲜销</x:v>
      </x:c>
      <x:c r="L228" s="55" t="n">
        <x:v>47975.55907371058</x:v>
      </x:c>
      <x:c r="M228" s="54" t="n">
        <x:v>0.016616793216606786</x:v>
      </x:c>
      <x:c r="N228" s="54" t="n">
        <x:v>0.5173071504287805</x:v>
      </x:c>
      <x:c r="O228" s="55" t="n">
        <x:v>175064.82028669296</x:v>
      </x:c>
      <x:c r="P228" s="55" t="n">
        <x:v>222542.6456095911</x:v>
      </x:c>
      <x:c r="Q228" s="55" t="n">
        <x:v>326063.53700724954</x:v>
      </x:c>
      <x:c r="R228" s="54" t="n">
        <x:v>0.7</x:v>
      </x:c>
      <x:c r="S228" s="54" t="n">
        <x:v>0.67</x:v>
      </x:c>
      <x:c r="T228" s="54" t="n">
        <x:v>0.26</x:v>
      </x:c>
      <x:c r="U228" s="54" t="n">
        <x:v>0.42</x:v>
      </x:c>
      <x:c r="V228" s="54" t="n">
        <x:v>0.7</x:v>
      </x:c>
      <x:c r="W228" s="53" t="str">
        <x:v>calibrated reconstruction; not historical author input</x:v>
      </x:c>
    </x:row>
    <x:row r="229" ht="28" hidden="0" customHeight="1">
      <x:c r="A229" s="48" t="str">
        <x:v>x_r29_s2_m2</x:v>
      </x:c>
      <x:c r="B229" s="48" t="str">
        <x:v>r29</x:v>
      </x:c>
      <x:c r="C229" s="48" t="str">
        <x:v>CN-QH</x:v>
      </x:c>
      <x:c r="D229" s="48" t="str">
        <x:v>Qinghai</x:v>
      </x:c>
      <x:c r="E229" s="48" t="str">
        <x:v>青海</x:v>
      </x:c>
      <x:c r="F229" s="48" t="n">
        <x:v>2</x:v>
      </x:c>
      <x:c r="G229" s="48" t="str">
        <x:v>freshwater_capture</x:v>
      </x:c>
      <x:c r="H229" s="48" t="str">
        <x:v>淡水捕捞</x:v>
      </x:c>
      <x:c r="I229" s="48" t="n">
        <x:v>2</x:v>
      </x:c>
      <x:c r="J229" s="48" t="str">
        <x:v>deep_processing</x:v>
      </x:c>
      <x:c r="K229" s="48" t="str">
        <x:v>深加工</x:v>
      </x:c>
      <x:c r="L229" s="55" t="n">
        <x:v>21554.236685290263</x:v>
      </x:c>
      <x:c r="M229" s="54" t="n">
        <x:v>0.016616793216606786</x:v>
      </x:c>
      <x:c r="N229" s="54" t="n">
        <x:v>0.5173071504287805</x:v>
      </x:c>
      <x:c r="O229" s="55" t="n">
        <x:v>175064.82028669296</x:v>
      </x:c>
      <x:c r="P229" s="55" t="n">
        <x:v>222542.6456095911</x:v>
      </x:c>
      <x:c r="Q229" s="55" t="n">
        <x:v>326063.53700724954</x:v>
      </x:c>
      <x:c r="R229" s="54" t="n">
        <x:v>0.86</x:v>
      </x:c>
      <x:c r="S229" s="54" t="n">
        <x:v>0.99</x:v>
      </x:c>
      <x:c r="T229" s="54" t="n">
        <x:v>0.34</x:v>
      </x:c>
      <x:c r="U229" s="54" t="n">
        <x:v>0.45</x:v>
      </x:c>
      <x:c r="V229" s="54" t="n">
        <x:v>0.7</x:v>
      </x:c>
      <x:c r="W229" s="53" t="str">
        <x:v>calibrated reconstruction; not historical author input</x:v>
      </x:c>
    </x:row>
    <x:row r="230" ht="28" hidden="0" customHeight="1">
      <x:c r="A230" s="48" t="str">
        <x:v>x_r29_s3_m1</x:v>
      </x:c>
      <x:c r="B230" s="48" t="str">
        <x:v>r29</x:v>
      </x:c>
      <x:c r="C230" s="48" t="str">
        <x:v>CN-QH</x:v>
      </x:c>
      <x:c r="D230" s="48" t="str">
        <x:v>Qinghai</x:v>
      </x:c>
      <x:c r="E230" s="48" t="str">
        <x:v>青海</x:v>
      </x:c>
      <x:c r="F230" s="48" t="n">
        <x:v>3</x:v>
      </x:c>
      <x:c r="G230" s="48" t="str">
        <x:v>marine_aquaculture</x:v>
      </x:c>
      <x:c r="H230" s="48" t="str">
        <x:v>海水养殖</x:v>
      </x:c>
      <x:c r="I230" s="48" t="n">
        <x:v>1</x:v>
      </x:c>
      <x:c r="J230" s="48" t="str">
        <x:v>fresh_sales</x:v>
      </x:c>
      <x:c r="K230" s="48" t="str">
        <x:v>鲜销</x:v>
      </x:c>
      <x:c r="L230" s="55" t="n">
        <x:v>329954.3552620503</x:v>
      </x:c>
      <x:c r="M230" s="54" t="n">
        <x:v>0.016616793216606786</x:v>
      </x:c>
      <x:c r="N230" s="54" t="n">
        <x:v>0.5173071504287805</x:v>
      </x:c>
      <x:c r="O230" s="55" t="n">
        <x:v>175064.82028669296</x:v>
      </x:c>
      <x:c r="P230" s="55" t="n">
        <x:v>222542.6456095911</x:v>
      </x:c>
      <x:c r="Q230" s="55" t="n">
        <x:v>326063.53700724954</x:v>
      </x:c>
      <x:c r="R230" s="54" t="n">
        <x:v>0.84</x:v>
      </x:c>
      <x:c r="S230" s="54" t="n">
        <x:v>0.8</x:v>
      </x:c>
      <x:c r="T230" s="54" t="n">
        <x:v>0.33</x:v>
      </x:c>
      <x:c r="U230" s="54" t="n">
        <x:v>0.78</x:v>
      </x:c>
      <x:c r="V230" s="54" t="n">
        <x:v>0.11</x:v>
      </x:c>
      <x:c r="W230" s="53" t="str">
        <x:v>calibrated reconstruction; not historical author input</x:v>
      </x:c>
    </x:row>
    <x:row r="231" ht="28" hidden="0" customHeight="1">
      <x:c r="A231" s="48" t="str">
        <x:v>x_r29_s3_m2</x:v>
      </x:c>
      <x:c r="B231" s="48" t="str">
        <x:v>r29</x:v>
      </x:c>
      <x:c r="C231" s="48" t="str">
        <x:v>CN-QH</x:v>
      </x:c>
      <x:c r="D231" s="48" t="str">
        <x:v>Qinghai</x:v>
      </x:c>
      <x:c r="E231" s="48" t="str">
        <x:v>青海</x:v>
      </x:c>
      <x:c r="F231" s="48" t="n">
        <x:v>3</x:v>
      </x:c>
      <x:c r="G231" s="48" t="str">
        <x:v>marine_aquaculture</x:v>
      </x:c>
      <x:c r="H231" s="48" t="str">
        <x:v>海水养殖</x:v>
      </x:c>
      <x:c r="I231" s="48" t="n">
        <x:v>2</x:v>
      </x:c>
      <x:c r="J231" s="48" t="str">
        <x:v>deep_processing</x:v>
      </x:c>
      <x:c r="K231" s="48" t="str">
        <x:v>深加工</x:v>
      </x:c>
      <x:c r="L231" s="55" t="n">
        <x:v>148240.3625090371</x:v>
      </x:c>
      <x:c r="M231" s="54" t="n">
        <x:v>0.016616793216606786</x:v>
      </x:c>
      <x:c r="N231" s="54" t="n">
        <x:v>0.5173071504287805</x:v>
      </x:c>
      <x:c r="O231" s="55" t="n">
        <x:v>175064.82028669296</x:v>
      </x:c>
      <x:c r="P231" s="55" t="n">
        <x:v>222542.6456095911</x:v>
      </x:c>
      <x:c r="Q231" s="55" t="n">
        <x:v>326063.53700724954</x:v>
      </x:c>
      <x:c r="R231" s="54" t="n">
        <x:v>1.02</x:v>
      </x:c>
      <x:c r="S231" s="54" t="n">
        <x:v>1.16</x:v>
      </x:c>
      <x:c r="T231" s="54" t="n">
        <x:v>0.41</x:v>
      </x:c>
      <x:c r="U231" s="54" t="n">
        <x:v>0.81</x:v>
      </x:c>
      <x:c r="V231" s="54" t="n">
        <x:v>0.11</x:v>
      </x:c>
      <x:c r="W231" s="53" t="str">
        <x:v>calibrated reconstruction; not historical author input</x:v>
      </x:c>
    </x:row>
    <x:row r="232" ht="28" hidden="0" customHeight="1">
      <x:c r="A232" s="48" t="str">
        <x:v>x_r29_s4_m1</x:v>
      </x:c>
      <x:c r="B232" s="48" t="str">
        <x:v>r29</x:v>
      </x:c>
      <x:c r="C232" s="48" t="str">
        <x:v>CN-QH</x:v>
      </x:c>
      <x:c r="D232" s="48" t="str">
        <x:v>Qinghai</x:v>
      </x:c>
      <x:c r="E232" s="48" t="str">
        <x:v>青海</x:v>
      </x:c>
      <x:c r="F232" s="48" t="n">
        <x:v>4</x:v>
      </x:c>
      <x:c r="G232" s="48" t="str">
        <x:v>freshwater_aquaculture</x:v>
      </x:c>
      <x:c r="H232" s="48" t="str">
        <x:v>淡水养殖</x:v>
      </x:c>
      <x:c r="I232" s="48" t="n">
        <x:v>1</x:v>
      </x:c>
      <x:c r="J232" s="48" t="str">
        <x:v>fresh_sales</x:v>
      </x:c>
      <x:c r="K232" s="48" t="str">
        <x:v>鲜销</x:v>
      </x:c>
      <x:c r="L232" s="55" t="n">
        <x:v>468985.5672715789</x:v>
      </x:c>
      <x:c r="M232" s="54" t="n">
        <x:v>0.016616793216606786</x:v>
      </x:c>
      <x:c r="N232" s="54" t="n">
        <x:v>0.5173071504287805</x:v>
      </x:c>
      <x:c r="O232" s="55" t="n">
        <x:v>175064.82028669296</x:v>
      </x:c>
      <x:c r="P232" s="55" t="n">
        <x:v>222542.6456095911</x:v>
      </x:c>
      <x:c r="Q232" s="55" t="n">
        <x:v>326063.53700724954</x:v>
      </x:c>
      <x:c r="R232" s="54" t="n">
        <x:v>0.88</x:v>
      </x:c>
      <x:c r="S232" s="54" t="n">
        <x:v>0.84</x:v>
      </x:c>
      <x:c r="T232" s="54" t="n">
        <x:v>0.31</x:v>
      </x:c>
      <x:c r="U232" s="54" t="n">
        <x:v>0.88</x:v>
      </x:c>
      <x:c r="V232" s="54" t="n">
        <x:v>0.08</x:v>
      </x:c>
      <x:c r="W232" s="53" t="str">
        <x:v>calibrated reconstruction; not historical author input</x:v>
      </x:c>
    </x:row>
    <x:row r="233" ht="28" hidden="0" customHeight="1">
      <x:c r="A233" s="48" t="str">
        <x:v>x_r29_s4_m2</x:v>
      </x:c>
      <x:c r="B233" s="48" t="str">
        <x:v>r29</x:v>
      </x:c>
      <x:c r="C233" s="48" t="str">
        <x:v>CN-QH</x:v>
      </x:c>
      <x:c r="D233" s="48" t="str">
        <x:v>Qinghai</x:v>
      </x:c>
      <x:c r="E233" s="48" t="str">
        <x:v>青海</x:v>
      </x:c>
      <x:c r="F233" s="48" t="n">
        <x:v>4</x:v>
      </x:c>
      <x:c r="G233" s="48" t="str">
        <x:v>freshwater_aquaculture</x:v>
      </x:c>
      <x:c r="H233" s="48" t="str">
        <x:v>淡水养殖</x:v>
      </x:c>
      <x:c r="I233" s="48" t="n">
        <x:v>2</x:v>
      </x:c>
      <x:c r="J233" s="48" t="str">
        <x:v>deep_processing</x:v>
      </x:c>
      <x:c r="K233" s="48" t="str">
        <x:v>深加工</x:v>
      </x:c>
      <x:c r="L233" s="55" t="n">
        <x:v>210703.6606582456</x:v>
      </x:c>
      <x:c r="M233" s="54" t="n">
        <x:v>0.016616793216606786</x:v>
      </x:c>
      <x:c r="N233" s="54" t="n">
        <x:v>0.5173071504287805</x:v>
      </x:c>
      <x:c r="O233" s="55" t="n">
        <x:v>175064.82028669296</x:v>
      </x:c>
      <x:c r="P233" s="55" t="n">
        <x:v>222542.6456095911</x:v>
      </x:c>
      <x:c r="Q233" s="55" t="n">
        <x:v>326063.53700724954</x:v>
      </x:c>
      <x:c r="R233" s="54" t="n">
        <x:v>1.06</x:v>
      </x:c>
      <x:c r="S233" s="54" t="n">
        <x:v>1.2</x:v>
      </x:c>
      <x:c r="T233" s="54" t="n">
        <x:v>0.39</x:v>
      </x:c>
      <x:c r="U233" s="54" t="n">
        <x:v>0.91</x:v>
      </x:c>
      <x:c r="V233" s="54" t="n">
        <x:v>0.08</x:v>
      </x:c>
      <x:c r="W233" s="53" t="str">
        <x:v>calibrated reconstruction; not historical author input</x:v>
      </x:c>
    </x:row>
    <x:row r="234" ht="28" hidden="0" customHeight="1">
      <x:c r="A234" s="48" t="str">
        <x:v>x_r30_s1_m1</x:v>
      </x:c>
      <x:c r="B234" s="48" t="str">
        <x:v>r30</x:v>
      </x:c>
      <x:c r="C234" s="48" t="str">
        <x:v>CN-NX</x:v>
      </x:c>
      <x:c r="D234" s="48" t="str">
        <x:v>Ningxia</x:v>
      </x:c>
      <x:c r="E234" s="48" t="str">
        <x:v>宁夏</x:v>
      </x:c>
      <x:c r="F234" s="48" t="n">
        <x:v>1</x:v>
      </x:c>
      <x:c r="G234" s="48" t="str">
        <x:v>marine_capture</x:v>
      </x:c>
      <x:c r="H234" s="48" t="str">
        <x:v>海洋捕捞</x:v>
      </x:c>
      <x:c r="I234" s="48" t="n">
        <x:v>1</x:v>
      </x:c>
      <x:c r="J234" s="48" t="str">
        <x:v>fresh_sales</x:v>
      </x:c>
      <x:c r="K234" s="48" t="str">
        <x:v>鲜销</x:v>
      </x:c>
      <x:c r="L234" s="55" t="n">
        <x:v>115914.8137120632</x:v>
      </x:c>
      <x:c r="M234" s="54" t="n">
        <x:v>0.01457231075986462</x:v>
      </x:c>
      <x:c r="N234" s="54" t="n">
        <x:v>0.4895526645920944</x:v>
      </x:c>
      <x:c r="O234" s="55" t="n">
        <x:v>161547.89825799922</x:v>
      </x:c>
      <x:c r="P234" s="55" t="n">
        <x:v>185465.77592058064</x:v>
      </x:c>
      <x:c r="Q234" s="55" t="n">
        <x:v>278122.8349016702</x:v>
      </x:c>
      <x:c r="R234" s="54" t="n">
        <x:v>0.65</x:v>
      </x:c>
      <x:c r="S234" s="54" t="n">
        <x:v>0.62</x:v>
      </x:c>
      <x:c r="T234" s="54" t="n">
        <x:v>0.29</x:v>
      </x:c>
      <x:c r="U234" s="54" t="n">
        <x:v>0.28</x:v>
      </x:c>
      <x:c r="V234" s="54" t="n">
        <x:v>1</x:v>
      </x:c>
      <x:c r="W234" s="53" t="str">
        <x:v>calibrated reconstruction; not historical author input</x:v>
      </x:c>
    </x:row>
    <x:row r="235" ht="28" hidden="0" customHeight="1">
      <x:c r="A235" s="48" t="str">
        <x:v>x_r30_s1_m2</x:v>
      </x:c>
      <x:c r="B235" s="48" t="str">
        <x:v>r30</x:v>
      </x:c>
      <x:c r="C235" s="48" t="str">
        <x:v>CN-NX</x:v>
      </x:c>
      <x:c r="D235" s="48" t="str">
        <x:v>Ningxia</x:v>
      </x:c>
      <x:c r="E235" s="48" t="str">
        <x:v>宁夏</x:v>
      </x:c>
      <x:c r="F235" s="48" t="n">
        <x:v>1</x:v>
      </x:c>
      <x:c r="G235" s="48" t="str">
        <x:v>marine_capture</x:v>
      </x:c>
      <x:c r="H235" s="48" t="str">
        <x:v>海洋捕捞</x:v>
      </x:c>
      <x:c r="I235" s="48" t="n">
        <x:v>2</x:v>
      </x:c>
      <x:c r="J235" s="48" t="str">
        <x:v>deep_processing</x:v>
      </x:c>
      <x:c r="K235" s="48" t="str">
        <x:v>深加工</x:v>
      </x:c>
      <x:c r="L235" s="55" t="n">
        <x:v>52077.66992860811</x:v>
      </x:c>
      <x:c r="M235" s="54" t="n">
        <x:v>0.01457231075986462</x:v>
      </x:c>
      <x:c r="N235" s="54" t="n">
        <x:v>0.4895526645920944</x:v>
      </x:c>
      <x:c r="O235" s="55" t="n">
        <x:v>161547.89825799922</x:v>
      </x:c>
      <x:c r="P235" s="55" t="n">
        <x:v>185465.77592058064</x:v>
      </x:c>
      <x:c r="Q235" s="55" t="n">
        <x:v>278122.8349016702</x:v>
      </x:c>
      <x:c r="R235" s="54" t="n">
        <x:v>0.82</x:v>
      </x:c>
      <x:c r="S235" s="54" t="n">
        <x:v>0.95</x:v>
      </x:c>
      <x:c r="T235" s="54" t="n">
        <x:v>0.36</x:v>
      </x:c>
      <x:c r="U235" s="54" t="n">
        <x:v>0.31</x:v>
      </x:c>
      <x:c r="V235" s="54" t="n">
        <x:v>1</x:v>
      </x:c>
      <x:c r="W235" s="53" t="str">
        <x:v>calibrated reconstruction; not historical author input</x:v>
      </x:c>
    </x:row>
    <x:row r="236" ht="28" hidden="0" customHeight="1">
      <x:c r="A236" s="48" t="str">
        <x:v>x_r30_s2_m1</x:v>
      </x:c>
      <x:c r="B236" s="48" t="str">
        <x:v>r30</x:v>
      </x:c>
      <x:c r="C236" s="48" t="str">
        <x:v>CN-NX</x:v>
      </x:c>
      <x:c r="D236" s="48" t="str">
        <x:v>Ningxia</x:v>
      </x:c>
      <x:c r="E236" s="48" t="str">
        <x:v>宁夏</x:v>
      </x:c>
      <x:c r="F236" s="48" t="n">
        <x:v>2</x:v>
      </x:c>
      <x:c r="G236" s="48" t="str">
        <x:v>freshwater_capture</x:v>
      </x:c>
      <x:c r="H236" s="48" t="str">
        <x:v>淡水捕捞</x:v>
      </x:c>
      <x:c r="I236" s="48" t="n">
        <x:v>1</x:v>
      </x:c>
      <x:c r="J236" s="48" t="str">
        <x:v>fresh_sales</x:v>
      </x:c>
      <x:c r="K236" s="48" t="str">
        <x:v>鲜销</x:v>
      </x:c>
      <x:c r="L236" s="55" t="n">
        <x:v>42072.78423623035</x:v>
      </x:c>
      <x:c r="M236" s="54" t="n">
        <x:v>0.01457231075986462</x:v>
      </x:c>
      <x:c r="N236" s="54" t="n">
        <x:v>0.4895526645920944</x:v>
      </x:c>
      <x:c r="O236" s="55" t="n">
        <x:v>161547.89825799922</x:v>
      </x:c>
      <x:c r="P236" s="55" t="n">
        <x:v>185465.77592058064</x:v>
      </x:c>
      <x:c r="Q236" s="55" t="n">
        <x:v>278122.8349016702</x:v>
      </x:c>
      <x:c r="R236" s="54" t="n">
        <x:v>0.7</x:v>
      </x:c>
      <x:c r="S236" s="54" t="n">
        <x:v>0.67</x:v>
      </x:c>
      <x:c r="T236" s="54" t="n">
        <x:v>0.26</x:v>
      </x:c>
      <x:c r="U236" s="54" t="n">
        <x:v>0.42</x:v>
      </x:c>
      <x:c r="V236" s="54" t="n">
        <x:v>0.7</x:v>
      </x:c>
      <x:c r="W236" s="53" t="str">
        <x:v>calibrated reconstruction; not historical author input</x:v>
      </x:c>
    </x:row>
    <x:row r="237" ht="28" hidden="0" customHeight="1">
      <x:c r="A237" s="48" t="str">
        <x:v>x_r30_s2_m2</x:v>
      </x:c>
      <x:c r="B237" s="48" t="str">
        <x:v>r30</x:v>
      </x:c>
      <x:c r="C237" s="48" t="str">
        <x:v>CN-NX</x:v>
      </x:c>
      <x:c r="D237" s="48" t="str">
        <x:v>Ningxia</x:v>
      </x:c>
      <x:c r="E237" s="48" t="str">
        <x:v>宁夏</x:v>
      </x:c>
      <x:c r="F237" s="48" t="n">
        <x:v>2</x:v>
      </x:c>
      <x:c r="G237" s="48" t="str">
        <x:v>freshwater_capture</x:v>
      </x:c>
      <x:c r="H237" s="48" t="str">
        <x:v>淡水捕捞</x:v>
      </x:c>
      <x:c r="I237" s="48" t="n">
        <x:v>2</x:v>
      </x:c>
      <x:c r="J237" s="48" t="str">
        <x:v>deep_processing</x:v>
      </x:c>
      <x:c r="K237" s="48" t="str">
        <x:v>深加工</x:v>
      </x:c>
      <x:c r="L237" s="55" t="n">
        <x:v>18902.265381494795</x:v>
      </x:c>
      <x:c r="M237" s="54" t="n">
        <x:v>0.01457231075986462</x:v>
      </x:c>
      <x:c r="N237" s="54" t="n">
        <x:v>0.4895526645920944</x:v>
      </x:c>
      <x:c r="O237" s="55" t="n">
        <x:v>161547.89825799922</x:v>
      </x:c>
      <x:c r="P237" s="55" t="n">
        <x:v>185465.77592058064</x:v>
      </x:c>
      <x:c r="Q237" s="55" t="n">
        <x:v>278122.8349016702</x:v>
      </x:c>
      <x:c r="R237" s="54" t="n">
        <x:v>0.86</x:v>
      </x:c>
      <x:c r="S237" s="54" t="n">
        <x:v>0.99</x:v>
      </x:c>
      <x:c r="T237" s="54" t="n">
        <x:v>0.34</x:v>
      </x:c>
      <x:c r="U237" s="54" t="n">
        <x:v>0.45</x:v>
      </x:c>
      <x:c r="V237" s="54" t="n">
        <x:v>0.7</x:v>
      </x:c>
      <x:c r="W237" s="53" t="str">
        <x:v>calibrated reconstruction; not historical author input</x:v>
      </x:c>
    </x:row>
    <x:row r="238" ht="28" hidden="0" customHeight="1">
      <x:c r="A238" s="48" t="str">
        <x:v>x_r30_s3_m1</x:v>
      </x:c>
      <x:c r="B238" s="48" t="str">
        <x:v>r30</x:v>
      </x:c>
      <x:c r="C238" s="48" t="str">
        <x:v>CN-NX</x:v>
      </x:c>
      <x:c r="D238" s="48" t="str">
        <x:v>Ningxia</x:v>
      </x:c>
      <x:c r="E238" s="48" t="str">
        <x:v>宁夏</x:v>
      </x:c>
      <x:c r="F238" s="48" t="n">
        <x:v>3</x:v>
      </x:c>
      <x:c r="G238" s="48" t="str">
        <x:v>marine_aquaculture</x:v>
      </x:c>
      <x:c r="H238" s="48" t="str">
        <x:v>海水养殖</x:v>
      </x:c>
      <x:c r="I238" s="48" t="n">
        <x:v>1</x:v>
      </x:c>
      <x:c r="J238" s="48" t="str">
        <x:v>fresh_sales</x:v>
      </x:c>
      <x:c r="K238" s="48" t="str">
        <x:v>鲜销</x:v>
      </x:c>
      <x:c r="L238" s="55" t="n">
        <x:v>289357.72015529854</x:v>
      </x:c>
      <x:c r="M238" s="54" t="n">
        <x:v>0.01457231075986462</x:v>
      </x:c>
      <x:c r="N238" s="54" t="n">
        <x:v>0.4895526645920944</x:v>
      </x:c>
      <x:c r="O238" s="55" t="n">
        <x:v>161547.89825799922</x:v>
      </x:c>
      <x:c r="P238" s="55" t="n">
        <x:v>185465.77592058064</x:v>
      </x:c>
      <x:c r="Q238" s="55" t="n">
        <x:v>278122.8349016702</x:v>
      </x:c>
      <x:c r="R238" s="54" t="n">
        <x:v>0.84</x:v>
      </x:c>
      <x:c r="S238" s="54" t="n">
        <x:v>0.8</x:v>
      </x:c>
      <x:c r="T238" s="54" t="n">
        <x:v>0.33</x:v>
      </x:c>
      <x:c r="U238" s="54" t="n">
        <x:v>0.78</x:v>
      </x:c>
      <x:c r="V238" s="54" t="n">
        <x:v>0.11</x:v>
      </x:c>
      <x:c r="W238" s="53" t="str">
        <x:v>calibrated reconstruction; not historical author input</x:v>
      </x:c>
    </x:row>
    <x:row r="239" ht="28" hidden="0" customHeight="1">
      <x:c r="A239" s="48" t="str">
        <x:v>x_r30_s3_m2</x:v>
      </x:c>
      <x:c r="B239" s="48" t="str">
        <x:v>r30</x:v>
      </x:c>
      <x:c r="C239" s="48" t="str">
        <x:v>CN-NX</x:v>
      </x:c>
      <x:c r="D239" s="48" t="str">
        <x:v>Ningxia</x:v>
      </x:c>
      <x:c r="E239" s="48" t="str">
        <x:v>宁夏</x:v>
      </x:c>
      <x:c r="F239" s="48" t="n">
        <x:v>3</x:v>
      </x:c>
      <x:c r="G239" s="48" t="str">
        <x:v>marine_aquaculture</x:v>
      </x:c>
      <x:c r="H239" s="48" t="str">
        <x:v>海水养殖</x:v>
      </x:c>
      <x:c r="I239" s="48" t="n">
        <x:v>2</x:v>
      </x:c>
      <x:c r="J239" s="48" t="str">
        <x:v>deep_processing</x:v>
      </x:c>
      <x:c r="K239" s="48" t="str">
        <x:v>深加工</x:v>
      </x:c>
      <x:c r="L239" s="55" t="n">
        <x:v>130001.29456252544</x:v>
      </x:c>
      <x:c r="M239" s="54" t="n">
        <x:v>0.01457231075986462</x:v>
      </x:c>
      <x:c r="N239" s="54" t="n">
        <x:v>0.4895526645920944</x:v>
      </x:c>
      <x:c r="O239" s="55" t="n">
        <x:v>161547.89825799922</x:v>
      </x:c>
      <x:c r="P239" s="55" t="n">
        <x:v>185465.77592058064</x:v>
      </x:c>
      <x:c r="Q239" s="55" t="n">
        <x:v>278122.8349016702</x:v>
      </x:c>
      <x:c r="R239" s="54" t="n">
        <x:v>1.02</x:v>
      </x:c>
      <x:c r="S239" s="54" t="n">
        <x:v>1.16</x:v>
      </x:c>
      <x:c r="T239" s="54" t="n">
        <x:v>0.41</x:v>
      </x:c>
      <x:c r="U239" s="54" t="n">
        <x:v>0.81</x:v>
      </x:c>
      <x:c r="V239" s="54" t="n">
        <x:v>0.11</x:v>
      </x:c>
      <x:c r="W239" s="53" t="str">
        <x:v>calibrated reconstruction; not historical author input</x:v>
      </x:c>
    </x:row>
    <x:row r="240" ht="28" hidden="0" customHeight="1">
      <x:c r="A240" s="48" t="str">
        <x:v>x_r30_s4_m1</x:v>
      </x:c>
      <x:c r="B240" s="48" t="str">
        <x:v>r30</x:v>
      </x:c>
      <x:c r="C240" s="48" t="str">
        <x:v>CN-NX</x:v>
      </x:c>
      <x:c r="D240" s="48" t="str">
        <x:v>Ningxia</x:v>
      </x:c>
      <x:c r="E240" s="48" t="str">
        <x:v>宁夏</x:v>
      </x:c>
      <x:c r="F240" s="48" t="n">
        <x:v>4</x:v>
      </x:c>
      <x:c r="G240" s="48" t="str">
        <x:v>freshwater_aquaculture</x:v>
      </x:c>
      <x:c r="H240" s="48" t="str">
        <x:v>淡水养殖</x:v>
      </x:c>
      <x:c r="I240" s="48" t="n">
        <x:v>1</x:v>
      </x:c>
      <x:c r="J240" s="48" t="str">
        <x:v>fresh_sales</x:v>
      </x:c>
      <x:c r="K240" s="48" t="str">
        <x:v>鲜销</x:v>
      </x:c>
      <x:c r="L240" s="55" t="n">
        <x:v>411282.9316153946</x:v>
      </x:c>
      <x:c r="M240" s="54" t="n">
        <x:v>0.01457231075986462</x:v>
      </x:c>
      <x:c r="N240" s="54" t="n">
        <x:v>0.4895526645920944</x:v>
      </x:c>
      <x:c r="O240" s="55" t="n">
        <x:v>161547.89825799922</x:v>
      </x:c>
      <x:c r="P240" s="55" t="n">
        <x:v>185465.77592058064</x:v>
      </x:c>
      <x:c r="Q240" s="55" t="n">
        <x:v>278122.8349016702</x:v>
      </x:c>
      <x:c r="R240" s="54" t="n">
        <x:v>0.88</x:v>
      </x:c>
      <x:c r="S240" s="54" t="n">
        <x:v>0.84</x:v>
      </x:c>
      <x:c r="T240" s="54" t="n">
        <x:v>0.31</x:v>
      </x:c>
      <x:c r="U240" s="54" t="n">
        <x:v>0.88</x:v>
      </x:c>
      <x:c r="V240" s="54" t="n">
        <x:v>0.08</x:v>
      </x:c>
      <x:c r="W240" s="53" t="str">
        <x:v>calibrated reconstruction; not historical author input</x:v>
      </x:c>
    </x:row>
    <x:row r="241" ht="28" hidden="0" customHeight="1">
      <x:c r="A241" s="48" t="str">
        <x:v>x_r30_s4_m2</x:v>
      </x:c>
      <x:c r="B241" s="48" t="str">
        <x:v>r30</x:v>
      </x:c>
      <x:c r="C241" s="48" t="str">
        <x:v>CN-NX</x:v>
      </x:c>
      <x:c r="D241" s="48" t="str">
        <x:v>Ningxia</x:v>
      </x:c>
      <x:c r="E241" s="48" t="str">
        <x:v>宁夏</x:v>
      </x:c>
      <x:c r="F241" s="48" t="n">
        <x:v>4</x:v>
      </x:c>
      <x:c r="G241" s="48" t="str">
        <x:v>freshwater_aquaculture</x:v>
      </x:c>
      <x:c r="H241" s="48" t="str">
        <x:v>淡水养殖</x:v>
      </x:c>
      <x:c r="I241" s="48" t="n">
        <x:v>2</x:v>
      </x:c>
      <x:c r="J241" s="48" t="str">
        <x:v>deep_processing</x:v>
      </x:c>
      <x:c r="K241" s="48" t="str">
        <x:v>深加工</x:v>
      </x:c>
      <x:c r="L241" s="55" t="n">
        <x:v>184779.28811706137</x:v>
      </x:c>
      <x:c r="M241" s="54" t="n">
        <x:v>0.01457231075986462</x:v>
      </x:c>
      <x:c r="N241" s="54" t="n">
        <x:v>0.4895526645920944</x:v>
      </x:c>
      <x:c r="O241" s="55" t="n">
        <x:v>161547.89825799922</x:v>
      </x:c>
      <x:c r="P241" s="55" t="n">
        <x:v>185465.77592058064</x:v>
      </x:c>
      <x:c r="Q241" s="55" t="n">
        <x:v>278122.8349016702</x:v>
      </x:c>
      <x:c r="R241" s="54" t="n">
        <x:v>1.06</x:v>
      </x:c>
      <x:c r="S241" s="54" t="n">
        <x:v>1.2</x:v>
      </x:c>
      <x:c r="T241" s="54" t="n">
        <x:v>0.39</x:v>
      </x:c>
      <x:c r="U241" s="54" t="n">
        <x:v>0.91</x:v>
      </x:c>
      <x:c r="V241" s="54" t="n">
        <x:v>0.08</x:v>
      </x:c>
      <x:c r="W241" s="53" t="str">
        <x:v>calibrated reconstruction; not historical author input</x:v>
      </x:c>
    </x:row>
    <x:row r="242" ht="28" hidden="0" customHeight="1">
      <x:c r="A242" s="48" t="str">
        <x:v>x_r31_s1_m1</x:v>
      </x:c>
      <x:c r="B242" s="48" t="str">
        <x:v>r31</x:v>
      </x:c>
      <x:c r="C242" s="48" t="str">
        <x:v>CN-XJ</x:v>
      </x:c>
      <x:c r="D242" s="48" t="str">
        <x:v>Xinjiang</x:v>
      </x:c>
      <x:c r="E242" s="48" t="str">
        <x:v>新疆</x:v>
      </x:c>
      <x:c r="F242" s="48" t="n">
        <x:v>1</x:v>
      </x:c>
      <x:c r="G242" s="48" t="str">
        <x:v>marine_capture</x:v>
      </x:c>
      <x:c r="H242" s="48" t="str">
        <x:v>海洋捕捞</x:v>
      </x:c>
      <x:c r="I242" s="48" t="n">
        <x:v>1</x:v>
      </x:c>
      <x:c r="J242" s="48" t="str">
        <x:v>fresh_sales</x:v>
      </x:c>
      <x:c r="K242" s="48" t="str">
        <x:v>鲜销</x:v>
      </x:c>
      <x:c r="L242" s="55" t="n">
        <x:v>113363.08382808945</x:v>
      </x:c>
      <x:c r="M242" s="54" t="n">
        <x:v>0.014251518277405333</x:v>
      </x:c>
      <x:c r="N242" s="54" t="n">
        <x:v>0.38436980275836097</x:v>
      </x:c>
      <x:c r="O242" s="55" t="n">
        <x:v>191516.5007062977</x:v>
      </x:c>
      <x:c r="P242" s="55" t="n">
        <x:v>171900.5431102269</x:v>
      </x:c>
      <x:c r="Q242" s="55" t="n">
        <x:v>278727.90959364764</x:v>
      </x:c>
      <x:c r="R242" s="54" t="n">
        <x:v>0.65</x:v>
      </x:c>
      <x:c r="S242" s="54" t="n">
        <x:v>0.62</x:v>
      </x:c>
      <x:c r="T242" s="54" t="n">
        <x:v>0.29</x:v>
      </x:c>
      <x:c r="U242" s="54" t="n">
        <x:v>0.28</x:v>
      </x:c>
      <x:c r="V242" s="54" t="n">
        <x:v>1</x:v>
      </x:c>
      <x:c r="W242" s="53" t="str">
        <x:v>calibrated reconstruction; not historical author input</x:v>
      </x:c>
    </x:row>
    <x:row r="243" ht="28" hidden="0" customHeight="1">
      <x:c r="A243" s="48" t="str">
        <x:v>x_r31_s1_m2</x:v>
      </x:c>
      <x:c r="B243" s="48" t="str">
        <x:v>r31</x:v>
      </x:c>
      <x:c r="C243" s="48" t="str">
        <x:v>CN-XJ</x:v>
      </x:c>
      <x:c r="D243" s="48" t="str">
        <x:v>Xinjiang</x:v>
      </x:c>
      <x:c r="E243" s="48" t="str">
        <x:v>新疆</x:v>
      </x:c>
      <x:c r="F243" s="48" t="n">
        <x:v>1</x:v>
      </x:c>
      <x:c r="G243" s="48" t="str">
        <x:v>marine_capture</x:v>
      </x:c>
      <x:c r="H243" s="48" t="str">
        <x:v>海洋捕捞</x:v>
      </x:c>
      <x:c r="I243" s="48" t="n">
        <x:v>2</x:v>
      </x:c>
      <x:c r="J243" s="48" t="str">
        <x:v>deep_processing</x:v>
      </x:c>
      <x:c r="K243" s="48" t="str">
        <x:v>深加工</x:v>
      </x:c>
      <x:c r="L243" s="55" t="n">
        <x:v>50931.24056044599</x:v>
      </x:c>
      <x:c r="M243" s="54" t="n">
        <x:v>0.014251518277405333</x:v>
      </x:c>
      <x:c r="N243" s="54" t="n">
        <x:v>0.38436980275836097</x:v>
      </x:c>
      <x:c r="O243" s="55" t="n">
        <x:v>191516.5007062977</x:v>
      </x:c>
      <x:c r="P243" s="55" t="n">
        <x:v>171900.5431102269</x:v>
      </x:c>
      <x:c r="Q243" s="55" t="n">
        <x:v>278727.90959364764</x:v>
      </x:c>
      <x:c r="R243" s="54" t="n">
        <x:v>0.82</x:v>
      </x:c>
      <x:c r="S243" s="54" t="n">
        <x:v>0.95</x:v>
      </x:c>
      <x:c r="T243" s="54" t="n">
        <x:v>0.36</x:v>
      </x:c>
      <x:c r="U243" s="54" t="n">
        <x:v>0.31</x:v>
      </x:c>
      <x:c r="V243" s="54" t="n">
        <x:v>1</x:v>
      </x:c>
      <x:c r="W243" s="53" t="str">
        <x:v>calibrated reconstruction; not historical author input</x:v>
      </x:c>
    </x:row>
    <x:row r="244" ht="28" hidden="0" customHeight="1">
      <x:c r="A244" s="48" t="str">
        <x:v>x_r31_s2_m1</x:v>
      </x:c>
      <x:c r="B244" s="48" t="str">
        <x:v>r31</x:v>
      </x:c>
      <x:c r="C244" s="48" t="str">
        <x:v>CN-XJ</x:v>
      </x:c>
      <x:c r="D244" s="48" t="str">
        <x:v>Xinjiang</x:v>
      </x:c>
      <x:c r="E244" s="48" t="str">
        <x:v>新疆</x:v>
      </x:c>
      <x:c r="F244" s="48" t="n">
        <x:v>2</x:v>
      </x:c>
      <x:c r="G244" s="48" t="str">
        <x:v>freshwater_capture</x:v>
      </x:c>
      <x:c r="H244" s="48" t="str">
        <x:v>淡水捕捞</x:v>
      </x:c>
      <x:c r="I244" s="48" t="n">
        <x:v>1</x:v>
      </x:c>
      <x:c r="J244" s="48" t="str">
        <x:v>fresh_sales</x:v>
      </x:c>
      <x:c r="K244" s="48" t="str">
        <x:v>鲜销</x:v>
      </x:c>
      <x:c r="L244" s="55" t="n">
        <x:v>41146.6007968621</x:v>
      </x:c>
      <x:c r="M244" s="54" t="n">
        <x:v>0.014251518277405333</x:v>
      </x:c>
      <x:c r="N244" s="54" t="n">
        <x:v>0.38436980275836097</x:v>
      </x:c>
      <x:c r="O244" s="55" t="n">
        <x:v>191516.5007062977</x:v>
      </x:c>
      <x:c r="P244" s="55" t="n">
        <x:v>171900.5431102269</x:v>
      </x:c>
      <x:c r="Q244" s="55" t="n">
        <x:v>278727.90959364764</x:v>
      </x:c>
      <x:c r="R244" s="54" t="n">
        <x:v>0.7</x:v>
      </x:c>
      <x:c r="S244" s="54" t="n">
        <x:v>0.67</x:v>
      </x:c>
      <x:c r="T244" s="54" t="n">
        <x:v>0.26</x:v>
      </x:c>
      <x:c r="U244" s="54" t="n">
        <x:v>0.42</x:v>
      </x:c>
      <x:c r="V244" s="54" t="n">
        <x:v>0.7</x:v>
      </x:c>
      <x:c r="W244" s="53" t="str">
        <x:v>calibrated reconstruction; not historical author input</x:v>
      </x:c>
    </x:row>
    <x:row r="245" ht="28" hidden="0" customHeight="1">
      <x:c r="A245" s="48" t="str">
        <x:v>x_r31_s2_m2</x:v>
      </x:c>
      <x:c r="B245" s="48" t="str">
        <x:v>r31</x:v>
      </x:c>
      <x:c r="C245" s="48" t="str">
        <x:v>CN-XJ</x:v>
      </x:c>
      <x:c r="D245" s="48" t="str">
        <x:v>Xinjiang</x:v>
      </x:c>
      <x:c r="E245" s="48" t="str">
        <x:v>新疆</x:v>
      </x:c>
      <x:c r="F245" s="48" t="n">
        <x:v>2</x:v>
      </x:c>
      <x:c r="G245" s="48" t="str">
        <x:v>freshwater_capture</x:v>
      </x:c>
      <x:c r="H245" s="48" t="str">
        <x:v>淡水捕捞</x:v>
      </x:c>
      <x:c r="I245" s="48" t="n">
        <x:v>2</x:v>
      </x:c>
      <x:c r="J245" s="48" t="str">
        <x:v>deep_processing</x:v>
      </x:c>
      <x:c r="K245" s="48" t="str">
        <x:v>深加工</x:v>
      </x:c>
      <x:c r="L245" s="55" t="n">
        <x:v>18486.153981198917</x:v>
      </x:c>
      <x:c r="M245" s="54" t="n">
        <x:v>0.014251518277405333</x:v>
      </x:c>
      <x:c r="N245" s="54" t="n">
        <x:v>0.38436980275836097</x:v>
      </x:c>
      <x:c r="O245" s="55" t="n">
        <x:v>191516.5007062977</x:v>
      </x:c>
      <x:c r="P245" s="55" t="n">
        <x:v>171900.5431102269</x:v>
      </x:c>
      <x:c r="Q245" s="55" t="n">
        <x:v>278727.90959364764</x:v>
      </x:c>
      <x:c r="R245" s="54" t="n">
        <x:v>0.86</x:v>
      </x:c>
      <x:c r="S245" s="54" t="n">
        <x:v>0.99</x:v>
      </x:c>
      <x:c r="T245" s="54" t="n">
        <x:v>0.34</x:v>
      </x:c>
      <x:c r="U245" s="54" t="n">
        <x:v>0.45</x:v>
      </x:c>
      <x:c r="V245" s="54" t="n">
        <x:v>0.7</x:v>
      </x:c>
      <x:c r="W245" s="53" t="str">
        <x:v>calibrated reconstruction; not historical author input</x:v>
      </x:c>
    </x:row>
    <x:row r="246" ht="28" hidden="0" customHeight="1">
      <x:c r="A246" s="48" t="str">
        <x:v>x_r31_s3_m1</x:v>
      </x:c>
      <x:c r="B246" s="48" t="str">
        <x:v>r31</x:v>
      </x:c>
      <x:c r="C246" s="48" t="str">
        <x:v>CN-XJ</x:v>
      </x:c>
      <x:c r="D246" s="48" t="str">
        <x:v>Xinjiang</x:v>
      </x:c>
      <x:c r="E246" s="48" t="str">
        <x:v>新疆</x:v>
      </x:c>
      <x:c r="F246" s="48" t="n">
        <x:v>3</x:v>
      </x:c>
      <x:c r="G246" s="48" t="str">
        <x:v>marine_aquaculture</x:v>
      </x:c>
      <x:c r="H246" s="48" t="str">
        <x:v>海水养殖</x:v>
      </x:c>
      <x:c r="I246" s="48" t="n">
        <x:v>1</x:v>
      </x:c>
      <x:c r="J246" s="48" t="str">
        <x:v>fresh_sales</x:v>
      </x:c>
      <x:c r="K246" s="48" t="str">
        <x:v>鲜销</x:v>
      </x:c>
      <x:c r="L246" s="55" t="n">
        <x:v>282987.8462967863</x:v>
      </x:c>
      <x:c r="M246" s="54" t="n">
        <x:v>0.014251518277405333</x:v>
      </x:c>
      <x:c r="N246" s="54" t="n">
        <x:v>0.38436980275836097</x:v>
      </x:c>
      <x:c r="O246" s="55" t="n">
        <x:v>191516.5007062977</x:v>
      </x:c>
      <x:c r="P246" s="55" t="n">
        <x:v>171900.5431102269</x:v>
      </x:c>
      <x:c r="Q246" s="55" t="n">
        <x:v>278727.90959364764</x:v>
      </x:c>
      <x:c r="R246" s="54" t="n">
        <x:v>0.84</x:v>
      </x:c>
      <x:c r="S246" s="54" t="n">
        <x:v>0.8</x:v>
      </x:c>
      <x:c r="T246" s="54" t="n">
        <x:v>0.33</x:v>
      </x:c>
      <x:c r="U246" s="54" t="n">
        <x:v>0.78</x:v>
      </x:c>
      <x:c r="V246" s="54" t="n">
        <x:v>0.11</x:v>
      </x:c>
      <x:c r="W246" s="53" t="str">
        <x:v>calibrated reconstruction; not historical author input</x:v>
      </x:c>
    </x:row>
    <x:row r="247" ht="28" hidden="0" customHeight="1">
      <x:c r="A247" s="48" t="str">
        <x:v>x_r31_s3_m2</x:v>
      </x:c>
      <x:c r="B247" s="48" t="str">
        <x:v>r31</x:v>
      </x:c>
      <x:c r="C247" s="48" t="str">
        <x:v>CN-XJ</x:v>
      </x:c>
      <x:c r="D247" s="48" t="str">
        <x:v>Xinjiang</x:v>
      </x:c>
      <x:c r="E247" s="48" t="str">
        <x:v>新疆</x:v>
      </x:c>
      <x:c r="F247" s="48" t="n">
        <x:v>3</x:v>
      </x:c>
      <x:c r="G247" s="48" t="str">
        <x:v>marine_aquaculture</x:v>
      </x:c>
      <x:c r="H247" s="48" t="str">
        <x:v>海水养殖</x:v>
      </x:c>
      <x:c r="I247" s="48" t="n">
        <x:v>2</x:v>
      </x:c>
      <x:c r="J247" s="48" t="str">
        <x:v>deep_processing</x:v>
      </x:c>
      <x:c r="K247" s="48" t="str">
        <x:v>深加工</x:v>
      </x:c>
      <x:c r="L247" s="55" t="n">
        <x:v>127139.46717681704</x:v>
      </x:c>
      <x:c r="M247" s="54" t="n">
        <x:v>0.014251518277405333</x:v>
      </x:c>
      <x:c r="N247" s="54" t="n">
        <x:v>0.38436980275836097</x:v>
      </x:c>
      <x:c r="O247" s="55" t="n">
        <x:v>191516.5007062977</x:v>
      </x:c>
      <x:c r="P247" s="55" t="n">
        <x:v>171900.5431102269</x:v>
      </x:c>
      <x:c r="Q247" s="55" t="n">
        <x:v>278727.90959364764</x:v>
      </x:c>
      <x:c r="R247" s="54" t="n">
        <x:v>1.02</x:v>
      </x:c>
      <x:c r="S247" s="54" t="n">
        <x:v>1.16</x:v>
      </x:c>
      <x:c r="T247" s="54" t="n">
        <x:v>0.41</x:v>
      </x:c>
      <x:c r="U247" s="54" t="n">
        <x:v>0.81</x:v>
      </x:c>
      <x:c r="V247" s="54" t="n">
        <x:v>0.11</x:v>
      </x:c>
      <x:c r="W247" s="53" t="str">
        <x:v>calibrated reconstruction; not historical author input</x:v>
      </x:c>
    </x:row>
    <x:row r="248" ht="28" hidden="0" customHeight="1">
      <x:c r="A248" s="48" t="str">
        <x:v>x_r31_s4_m1</x:v>
      </x:c>
      <x:c r="B248" s="48" t="str">
        <x:v>r31</x:v>
      </x:c>
      <x:c r="C248" s="48" t="str">
        <x:v>CN-XJ</x:v>
      </x:c>
      <x:c r="D248" s="48" t="str">
        <x:v>Xinjiang</x:v>
      </x:c>
      <x:c r="E248" s="48" t="str">
        <x:v>新疆</x:v>
      </x:c>
      <x:c r="F248" s="48" t="n">
        <x:v>4</x:v>
      </x:c>
      <x:c r="G248" s="48" t="str">
        <x:v>freshwater_aquaculture</x:v>
      </x:c>
      <x:c r="H248" s="48" t="str">
        <x:v>淡水养殖</x:v>
      </x:c>
      <x:c r="I248" s="48" t="n">
        <x:v>1</x:v>
      </x:c>
      <x:c r="J248" s="48" t="str">
        <x:v>fresh_sales</x:v>
      </x:c>
      <x:c r="K248" s="48" t="str">
        <x:v>鲜销</x:v>
      </x:c>
      <x:c r="L248" s="55" t="n">
        <x:v>402229.01595299883</x:v>
      </x:c>
      <x:c r="M248" s="54" t="n">
        <x:v>0.014251518277405333</x:v>
      </x:c>
      <x:c r="N248" s="54" t="n">
        <x:v>0.38436980275836097</x:v>
      </x:c>
      <x:c r="O248" s="55" t="n">
        <x:v>191516.5007062977</x:v>
      </x:c>
      <x:c r="P248" s="55" t="n">
        <x:v>171900.5431102269</x:v>
      </x:c>
      <x:c r="Q248" s="55" t="n">
        <x:v>278727.90959364764</x:v>
      </x:c>
      <x:c r="R248" s="54" t="n">
        <x:v>0.88</x:v>
      </x:c>
      <x:c r="S248" s="54" t="n">
        <x:v>0.84</x:v>
      </x:c>
      <x:c r="T248" s="54" t="n">
        <x:v>0.31</x:v>
      </x:c>
      <x:c r="U248" s="54" t="n">
        <x:v>0.88</x:v>
      </x:c>
      <x:c r="V248" s="54" t="n">
        <x:v>0.08</x:v>
      </x:c>
      <x:c r="W248" s="53" t="str">
        <x:v>calibrated reconstruction; not historical author input</x:v>
      </x:c>
    </x:row>
    <x:row r="249" ht="28" hidden="0" customHeight="1">
      <x:c r="A249" s="48" t="str">
        <x:v>x_r31_s4_m2</x:v>
      </x:c>
      <x:c r="B249" s="48" t="str">
        <x:v>r31</x:v>
      </x:c>
      <x:c r="C249" s="48" t="str">
        <x:v>CN-XJ</x:v>
      </x:c>
      <x:c r="D249" s="48" t="str">
        <x:v>Xinjiang</x:v>
      </x:c>
      <x:c r="E249" s="48" t="str">
        <x:v>新疆</x:v>
      </x:c>
      <x:c r="F249" s="48" t="n">
        <x:v>4</x:v>
      </x:c>
      <x:c r="G249" s="48" t="str">
        <x:v>freshwater_aquaculture</x:v>
      </x:c>
      <x:c r="H249" s="48" t="str">
        <x:v>淡水养殖</x:v>
      </x:c>
      <x:c r="I249" s="48" t="n">
        <x:v>2</x:v>
      </x:c>
      <x:c r="J249" s="48" t="str">
        <x:v>deep_processing</x:v>
      </x:c>
      <x:c r="K249" s="48" t="str">
        <x:v>深加工</x:v>
      </x:c>
      <x:c r="L249" s="55" t="n">
        <x:v>180711.58687743428</x:v>
      </x:c>
      <x:c r="M249" s="54" t="n">
        <x:v>0.014251518277405333</x:v>
      </x:c>
      <x:c r="N249" s="54" t="n">
        <x:v>0.38436980275836097</x:v>
      </x:c>
      <x:c r="O249" s="55" t="n">
        <x:v>191516.5007062977</x:v>
      </x:c>
      <x:c r="P249" s="55" t="n">
        <x:v>171900.5431102269</x:v>
      </x:c>
      <x:c r="Q249" s="55" t="n">
        <x:v>278727.90959364764</x:v>
      </x:c>
      <x:c r="R249" s="54" t="n">
        <x:v>1.06</x:v>
      </x:c>
      <x:c r="S249" s="54" t="n">
        <x:v>1.2</x:v>
      </x:c>
      <x:c r="T249" s="54" t="n">
        <x:v>0.39</x:v>
      </x:c>
      <x:c r="U249" s="54" t="n">
        <x:v>0.91</x:v>
      </x:c>
      <x:c r="V249" s="54" t="n">
        <x:v>0.08</x:v>
      </x:c>
      <x:c r="W249" s="53" t="str">
        <x:v>calibrated reconstruction; not historical author input</x:v>
      </x:c>
    </x:row>
  </x:sheetData>
  <x:pageMargins left="0.7" right="0.7" top="0.75" bottom="0.75" header="0.3" footer="0.3"/>
  <x:tableParts count="1">
    <x:tablePart xmlns:r="http://schemas.openxmlformats.org/officeDocument/2006/relationships" r:id="R44172c134cd5409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" hidden="0" customWidth="1"/>
    <x:col min="3" max="3" width="14" hidden="0" customWidth="1"/>
    <x:col min="4" max="4" width="10" hidden="0" customWidth="1"/>
    <x:col min="5" max="5" width="18" hidden="0" customWidth="1"/>
    <x:col min="6" max="6" width="12" hidden="0" customWidth="1"/>
    <x:col min="7" max="7" width="17" hidden="0" customWidth="1"/>
    <x:col min="8" max="8" width="20" hidden="0" customWidth="1"/>
    <x:col min="9" max="9" width="20" hidden="0" customWidth="1"/>
    <x:col min="10" max="10" width="17" hidden="0" customWidth="1"/>
    <x:col min="11" max="11" width="17" hidden="0" customWidth="1"/>
    <x:col min="12" max="12" width="34" hidden="0" customWidth="1"/>
  </x:cols>
  <x:sheetData>
    <x:row r="1" ht="42" hidden="0" customHeight="1">
      <x:c r="A1" s="52" t="str">
        <x:v>sector_id</x:v>
      </x:c>
      <x:c r="B1" s="52" t="str">
        <x:v>sector_en</x:v>
      </x:c>
      <x:c r="C1" s="52" t="str">
        <x:v>sector_zh</x:v>
      </x:c>
      <x:c r="D1" s="52" t="str">
        <x:v>mode_id</x:v>
      </x:c>
      <x:c r="E1" s="52" t="str">
        <x:v>mode_en</x:v>
      </x:c>
      <x:c r="F1" s="52" t="str">
        <x:v>mode_zh</x:v>
      </x:c>
      <x:c r="G1" s="52" t="str">
        <x:v>income_coefficient_proxy</x:v>
      </x:c>
      <x:c r="H1" s="52" t="str">
        <x:v>marginal_value_coefficient_proxy</x:v>
      </x:c>
      <x:c r="I1" s="52" t="str">
        <x:v>supply_chain_cost_coefficient_proxy</x:v>
      </x:c>
      <x:c r="J1" s="52" t="str">
        <x:v>ecological_weight_proxy</x:v>
      </x:c>
      <x:c r="K1" s="52" t="str">
        <x:v>fleet_power_coefficient_proxy</x:v>
      </x:c>
      <x:c r="L1" s="52" t="str">
        <x:v>data_status</x:v>
      </x:c>
    </x:row>
    <x:row r="2" ht="28" hidden="0" customHeight="1">
      <x:c r="A2" s="48" t="n">
        <x:v>1</x:v>
      </x:c>
      <x:c r="B2" s="48" t="str">
        <x:v>marine_capture</x:v>
      </x:c>
      <x:c r="C2" s="48" t="str">
        <x:v>海洋捕捞</x:v>
      </x:c>
      <x:c r="D2" s="48" t="n">
        <x:v>1</x:v>
      </x:c>
      <x:c r="E2" s="48" t="str">
        <x:v>fresh_sales</x:v>
      </x:c>
      <x:c r="F2" s="48" t="str">
        <x:v>鲜销</x:v>
      </x:c>
      <x:c r="G2" s="54" t="n">
        <x:v>0.65</x:v>
      </x:c>
      <x:c r="H2" s="54" t="n">
        <x:v>0.62</x:v>
      </x:c>
      <x:c r="I2" s="54" t="n">
        <x:v>0.29</x:v>
      </x:c>
      <x:c r="J2" s="54" t="n">
        <x:v>0.28</x:v>
      </x:c>
      <x:c r="K2" s="54" t="n">
        <x:v>1</x:v>
      </x:c>
      <x:c r="L2" s="53" t="str">
        <x:v>calibrated reconstruction; not historical author input</x:v>
      </x:c>
    </x:row>
    <x:row r="3" ht="28" hidden="0" customHeight="1">
      <x:c r="A3" s="48" t="n">
        <x:v>1</x:v>
      </x:c>
      <x:c r="B3" s="48" t="str">
        <x:v>marine_capture</x:v>
      </x:c>
      <x:c r="C3" s="48" t="str">
        <x:v>海洋捕捞</x:v>
      </x:c>
      <x:c r="D3" s="48" t="n">
        <x:v>2</x:v>
      </x:c>
      <x:c r="E3" s="48" t="str">
        <x:v>deep_processing</x:v>
      </x:c>
      <x:c r="F3" s="48" t="str">
        <x:v>深加工</x:v>
      </x:c>
      <x:c r="G3" s="54" t="n">
        <x:v>0.82</x:v>
      </x:c>
      <x:c r="H3" s="54" t="n">
        <x:v>0.95</x:v>
      </x:c>
      <x:c r="I3" s="54" t="n">
        <x:v>0.36</x:v>
      </x:c>
      <x:c r="J3" s="54" t="n">
        <x:v>0.31</x:v>
      </x:c>
      <x:c r="K3" s="54" t="n">
        <x:v>1</x:v>
      </x:c>
      <x:c r="L3" s="53" t="str">
        <x:v>calibrated reconstruction; not historical author input</x:v>
      </x:c>
    </x:row>
    <x:row r="4" ht="28" hidden="0" customHeight="1">
      <x:c r="A4" s="48" t="n">
        <x:v>2</x:v>
      </x:c>
      <x:c r="B4" s="48" t="str">
        <x:v>freshwater_capture</x:v>
      </x:c>
      <x:c r="C4" s="48" t="str">
        <x:v>淡水捕捞</x:v>
      </x:c>
      <x:c r="D4" s="48" t="n">
        <x:v>1</x:v>
      </x:c>
      <x:c r="E4" s="48" t="str">
        <x:v>fresh_sales</x:v>
      </x:c>
      <x:c r="F4" s="48" t="str">
        <x:v>鲜销</x:v>
      </x:c>
      <x:c r="G4" s="54" t="n">
        <x:v>0.7</x:v>
      </x:c>
      <x:c r="H4" s="54" t="n">
        <x:v>0.67</x:v>
      </x:c>
      <x:c r="I4" s="54" t="n">
        <x:v>0.26</x:v>
      </x:c>
      <x:c r="J4" s="54" t="n">
        <x:v>0.42</x:v>
      </x:c>
      <x:c r="K4" s="54" t="n">
        <x:v>0.7</x:v>
      </x:c>
      <x:c r="L4" s="53" t="str">
        <x:v>calibrated reconstruction; not historical author input</x:v>
      </x:c>
    </x:row>
    <x:row r="5" ht="28" hidden="0" customHeight="1">
      <x:c r="A5" s="48" t="n">
        <x:v>2</x:v>
      </x:c>
      <x:c r="B5" s="48" t="str">
        <x:v>freshwater_capture</x:v>
      </x:c>
      <x:c r="C5" s="48" t="str">
        <x:v>淡水捕捞</x:v>
      </x:c>
      <x:c r="D5" s="48" t="n">
        <x:v>2</x:v>
      </x:c>
      <x:c r="E5" s="48" t="str">
        <x:v>deep_processing</x:v>
      </x:c>
      <x:c r="F5" s="48" t="str">
        <x:v>深加工</x:v>
      </x:c>
      <x:c r="G5" s="54" t="n">
        <x:v>0.86</x:v>
      </x:c>
      <x:c r="H5" s="54" t="n">
        <x:v>0.99</x:v>
      </x:c>
      <x:c r="I5" s="54" t="n">
        <x:v>0.34</x:v>
      </x:c>
      <x:c r="J5" s="54" t="n">
        <x:v>0.45</x:v>
      </x:c>
      <x:c r="K5" s="54" t="n">
        <x:v>0.7</x:v>
      </x:c>
      <x:c r="L5" s="53" t="str">
        <x:v>calibrated reconstruction; not historical author input</x:v>
      </x:c>
    </x:row>
    <x:row r="6" ht="28" hidden="0" customHeight="1">
      <x:c r="A6" s="48" t="n">
        <x:v>3</x:v>
      </x:c>
      <x:c r="B6" s="48" t="str">
        <x:v>marine_aquaculture</x:v>
      </x:c>
      <x:c r="C6" s="48" t="str">
        <x:v>海水养殖</x:v>
      </x:c>
      <x:c r="D6" s="48" t="n">
        <x:v>1</x:v>
      </x:c>
      <x:c r="E6" s="48" t="str">
        <x:v>fresh_sales</x:v>
      </x:c>
      <x:c r="F6" s="48" t="str">
        <x:v>鲜销</x:v>
      </x:c>
      <x:c r="G6" s="54" t="n">
        <x:v>0.84</x:v>
      </x:c>
      <x:c r="H6" s="54" t="n">
        <x:v>0.8</x:v>
      </x:c>
      <x:c r="I6" s="54" t="n">
        <x:v>0.33</x:v>
      </x:c>
      <x:c r="J6" s="54" t="n">
        <x:v>0.78</x:v>
      </x:c>
      <x:c r="K6" s="54" t="n">
        <x:v>0.11</x:v>
      </x:c>
      <x:c r="L6" s="53" t="str">
        <x:v>calibrated reconstruction; not historical author input</x:v>
      </x:c>
    </x:row>
    <x:row r="7" ht="28" hidden="0" customHeight="1">
      <x:c r="A7" s="48" t="n">
        <x:v>3</x:v>
      </x:c>
      <x:c r="B7" s="48" t="str">
        <x:v>marine_aquaculture</x:v>
      </x:c>
      <x:c r="C7" s="48" t="str">
        <x:v>海水养殖</x:v>
      </x:c>
      <x:c r="D7" s="48" t="n">
        <x:v>2</x:v>
      </x:c>
      <x:c r="E7" s="48" t="str">
        <x:v>deep_processing</x:v>
      </x:c>
      <x:c r="F7" s="48" t="str">
        <x:v>深加工</x:v>
      </x:c>
      <x:c r="G7" s="54" t="n">
        <x:v>1.02</x:v>
      </x:c>
      <x:c r="H7" s="54" t="n">
        <x:v>1.16</x:v>
      </x:c>
      <x:c r="I7" s="54" t="n">
        <x:v>0.41</x:v>
      </x:c>
      <x:c r="J7" s="54" t="n">
        <x:v>0.81</x:v>
      </x:c>
      <x:c r="K7" s="54" t="n">
        <x:v>0.11</x:v>
      </x:c>
      <x:c r="L7" s="53" t="str">
        <x:v>calibrated reconstruction; not historical author input</x:v>
      </x:c>
    </x:row>
    <x:row r="8" ht="28" hidden="0" customHeight="1">
      <x:c r="A8" s="48" t="n">
        <x:v>4</x:v>
      </x:c>
      <x:c r="B8" s="48" t="str">
        <x:v>freshwater_aquaculture</x:v>
      </x:c>
      <x:c r="C8" s="48" t="str">
        <x:v>淡水养殖</x:v>
      </x:c>
      <x:c r="D8" s="48" t="n">
        <x:v>1</x:v>
      </x:c>
      <x:c r="E8" s="48" t="str">
        <x:v>fresh_sales</x:v>
      </x:c>
      <x:c r="F8" s="48" t="str">
        <x:v>鲜销</x:v>
      </x:c>
      <x:c r="G8" s="54" t="n">
        <x:v>0.88</x:v>
      </x:c>
      <x:c r="H8" s="54" t="n">
        <x:v>0.84</x:v>
      </x:c>
      <x:c r="I8" s="54" t="n">
        <x:v>0.31</x:v>
      </x:c>
      <x:c r="J8" s="54" t="n">
        <x:v>0.88</x:v>
      </x:c>
      <x:c r="K8" s="54" t="n">
        <x:v>0.08</x:v>
      </x:c>
      <x:c r="L8" s="53" t="str">
        <x:v>calibrated reconstruction; not historical author input</x:v>
      </x:c>
    </x:row>
    <x:row r="9" ht="28" hidden="0" customHeight="1">
      <x:c r="A9" s="48" t="n">
        <x:v>4</x:v>
      </x:c>
      <x:c r="B9" s="48" t="str">
        <x:v>freshwater_aquaculture</x:v>
      </x:c>
      <x:c r="C9" s="48" t="str">
        <x:v>淡水养殖</x:v>
      </x:c>
      <x:c r="D9" s="48" t="n">
        <x:v>2</x:v>
      </x:c>
      <x:c r="E9" s="48" t="str">
        <x:v>deep_processing</x:v>
      </x:c>
      <x:c r="F9" s="48" t="str">
        <x:v>深加工</x:v>
      </x:c>
      <x:c r="G9" s="54" t="n">
        <x:v>1.06</x:v>
      </x:c>
      <x:c r="H9" s="54" t="n">
        <x:v>1.2</x:v>
      </x:c>
      <x:c r="I9" s="54" t="n">
        <x:v>0.39</x:v>
      </x:c>
      <x:c r="J9" s="54" t="n">
        <x:v>0.91</x:v>
      </x:c>
      <x:c r="K9" s="54" t="n">
        <x:v>0.08</x:v>
      </x:c>
      <x:c r="L9" s="53" t="str">
        <x:v>calibrated reconstruction; not historical author input</x:v>
      </x:c>
    </x:row>
  </x:sheetData>
  <x:pageMargins left="0.7" right="0.7" top="0.75" bottom="0.75" header="0.3" footer="0.3"/>
  <x:tableParts count="1">
    <x:tablePart xmlns:r="http://schemas.openxmlformats.org/officeDocument/2006/relationships" r:id="R75a984d6b68044c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30" hidden="0" customWidth="1"/>
    <x:col min="5" max="5" width="34" hidden="0" customWidth="1"/>
    <x:col min="6" max="6" width="34" hidden="0" customWidth="1"/>
  </x:cols>
  <x:sheetData>
    <x:row r="1" ht="42" hidden="0" customHeight="1">
      <x:c r="A1" s="52" t="str">
        <x:v>parameter</x:v>
      </x:c>
      <x:c r="B1" s="52" t="str">
        <x:v>value</x:v>
      </x:c>
      <x:c r="C1" s="52" t="str">
        <x:v>unit</x:v>
      </x:c>
      <x:c r="D1" s="52" t="str">
        <x:v>role</x:v>
      </x:c>
      <x:c r="E1" s="52" t="str">
        <x:v>source</x:v>
      </x:c>
      <x:c r="F1" s="52" t="str">
        <x:v>data_status</x:v>
      </x:c>
    </x:row>
    <x:row r="2" ht="34" hidden="0" customHeight="1">
      <x:c r="A2" s="48" t="str">
        <x:v>baseline_total</x:v>
      </x:c>
      <x:c r="B2" s="48" t="n">
        <x:v>71161716</x:v>
      </x:c>
      <x:c r="C2" s="48" t="str">
        <x:v>tonnes</x:v>
      </x:c>
      <x:c r="D2" s="53" t="str">
        <x:v>2023 production anchor</x:v>
      </x:c>
      <x:c r="E2" s="53" t="str">
        <x:v>Paper Table 3</x:v>
      </x:c>
      <x:c r="F2" s="53" t="str">
        <x:v>article transcription</x:v>
      </x:c>
    </x:row>
    <x:row r="3" ht="34" hidden="0" customHeight="1">
      <x:c r="A3" s="48" t="str">
        <x:v>catch_limit</x:v>
      </x:c>
      <x:c r="B3" s="48" t="n">
        <x:v>13065600</x:v>
      </x:c>
      <x:c r="C3" s="48" t="str">
        <x:v>tonnes</x:v>
      </x:c>
      <x:c r="D3" s="53" t="str">
        <x:v>national capture constraint in surrogate</x:v>
      </x:c>
      <x:c r="E3" s="53" t="str">
        <x:v>Model proxy aligned to 2023 national total capture</x:v>
      </x:c>
      <x:c r="F3" s="53" t="str">
        <x:v>calibrated reconstruction; not historical author input</x:v>
      </x:c>
    </x:row>
    <x:row r="4" ht="34" hidden="0" customHeight="1">
      <x:c r="A4" s="48" t="str">
        <x:v>total_limit</x:v>
      </x:c>
      <x:c r="B4" s="48" t="n">
        <x:v>78277887.60000001</x:v>
      </x:c>
      <x:c r="C4" s="48" t="str">
        <x:v>tonnes</x:v>
      </x:c>
      <x:c r="D4" s="53" t="str">
        <x:v>110% of production anchor</x:v>
      </x:c>
      <x:c r="E4" s="53" t="str">
        <x:v>deterministic model rule</x:v>
      </x:c>
      <x:c r="F4" s="53" t="str">
        <x:v>calibrated reconstruction; not historical author input</x:v>
      </x:c>
    </x:row>
    <x:row r="5" ht="34" hidden="0" customHeight="1">
      <x:c r="A5" s="48" t="str">
        <x:v>processing_limit</x:v>
      </x:c>
      <x:c r="B5" s="48" t="n">
        <x:v>26329834.919999998</x:v>
      </x:c>
      <x:c r="C5" s="48" t="str">
        <x:v>tonnes</x:v>
      </x:c>
      <x:c r="D5" s="53" t="str">
        <x:v>37% of production anchor</x:v>
      </x:c>
      <x:c r="E5" s="53" t="str">
        <x:v>deterministic model rule</x:v>
      </x:c>
      <x:c r="F5" s="53" t="str">
        <x:v>calibrated reconstruction; not historical author input</x:v>
      </x:c>
    </x:row>
    <x:row r="6" ht="34" hidden="0" customHeight="1">
      <x:c r="A6" s="48" t="str">
        <x:v>minimum_supply</x:v>
      </x:c>
      <x:c r="B6" s="48" t="n">
        <x:v>41273795.279999994</x:v>
      </x:c>
      <x:c r="C6" s="48" t="str">
        <x:v>tonnes</x:v>
      </x:c>
      <x:c r="D6" s="53" t="str">
        <x:v>58% of production anchor</x:v>
      </x:c>
      <x:c r="E6" s="53" t="str">
        <x:v>deterministic model rule</x:v>
      </x:c>
      <x:c r="F6" s="53" t="str">
        <x:v>calibrated reconstruction; not historical author input</x:v>
      </x:c>
    </x:row>
    <x:row r="7" ht="34" hidden="0" customHeight="1">
      <x:c r="A7" s="48" t="str">
        <x:v>power_limit</x:v>
      </x:c>
      <x:c r="B7" s="48" t="n">
        <x:v>18940154</x:v>
      </x:c>
      <x:c r="C7" s="48" t="str">
        <x:v>kW</x:v>
      </x:c>
      <x:c r="D7" s="53" t="str">
        <x:v>2023 fleet-power anchor</x:v>
      </x:c>
      <x:c r="E7" s="53" t="str">
        <x:v>Paper Table 3</x:v>
      </x:c>
      <x:c r="F7" s="53" t="str">
        <x:v>article transcription</x:v>
      </x:c>
    </x:row>
    <x:row r="8" ht="34" hidden="0" customHeight="1">
      <x:c r="A8" s="48" t="str">
        <x:v>capture_share_max</x:v>
      </x:c>
      <x:c r="B8" s="48" t="n">
        <x:v>0.28</x:v>
      </x:c>
      <x:c r="C8" s="48" t="str">
        <x:v>ratio</x:v>
      </x:c>
      <x:c r="D8" s="53" t="str">
        <x:v>constraint threshold</x:v>
      </x:c>
      <x:c r="E8" s="53" t="str">
        <x:v>public surrogate implementation</x:v>
      </x:c>
      <x:c r="F8" s="53" t="str">
        <x:v>calibrated reconstruction; not historical author input</x:v>
      </x:c>
    </x:row>
    <x:row r="9" ht="34" hidden="0" customHeight="1">
      <x:c r="A9" s="48" t="str">
        <x:v>hv_reference_1</x:v>
      </x:c>
      <x:c r="B9" s="48" t="n">
        <x:v>1.05</x:v>
      </x:c>
      <x:c r="C9" s="48" t="str">
        <x:v>cost-space score</x:v>
      </x:c>
      <x:c r="D9" s="53" t="str">
        <x:v>new-run HV reference point</x:v>
      </x:c>
      <x:c r="E9" s="53" t="str">
        <x:v>declared replacement metric method</x:v>
      </x:c>
      <x:c r="F9" s="53" t="str">
        <x:v>newly executed 30-run surrogate verification; not original author-run logs</x:v>
      </x:c>
    </x:row>
    <x:row r="10" ht="34" hidden="0" customHeight="1">
      <x:c r="A10" s="48" t="str">
        <x:v>hv_reference_2</x:v>
      </x:c>
      <x:c r="B10" s="48" t="n">
        <x:v>1.05</x:v>
      </x:c>
      <x:c r="C10" s="48" t="str">
        <x:v>cost-space score</x:v>
      </x:c>
      <x:c r="D10" s="53" t="str">
        <x:v>new-run HV reference point</x:v>
      </x:c>
      <x:c r="E10" s="53" t="str">
        <x:v>declared replacement metric method</x:v>
      </x:c>
      <x:c r="F10" s="53" t="str">
        <x:v>newly executed 30-run surrogate verification; not original author-run logs</x:v>
      </x:c>
    </x:row>
    <x:row r="11" ht="34" hidden="0" customHeight="1">
      <x:c r="A11" s="48" t="str">
        <x:v>hv_reference_3</x:v>
      </x:c>
      <x:c r="B11" s="48" t="n">
        <x:v>1.05</x:v>
      </x:c>
      <x:c r="C11" s="48" t="str">
        <x:v>cost-space score</x:v>
      </x:c>
      <x:c r="D11" s="53" t="str">
        <x:v>new-run HV reference point</x:v>
      </x:c>
      <x:c r="E11" s="53" t="str">
        <x:v>declared replacement metric method</x:v>
      </x:c>
      <x:c r="F11" s="53" t="str">
        <x:v>newly executed 30-run surrogate verification; not original author-run logs</x:v>
      </x:c>
    </x:row>
  </x:sheetData>
  <x:pageMargins left="0.7" right="0.7" top="0.75" bottom="0.75" header="0.3" footer="0.3"/>
  <x:tableParts count="1">
    <x:tablePart xmlns:r="http://schemas.openxmlformats.org/officeDocument/2006/relationships" r:id="R1cec5ce0936a419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0" hidden="0" customWidth="1"/>
    <x:col min="3" max="3" width="20" hidden="0" customWidth="1"/>
    <x:col min="4" max="4" width="18" hidden="0" customWidth="1"/>
    <x:col min="5" max="5" width="55" hidden="0" customWidth="1"/>
  </x:cols>
  <x:sheetData>
    <x:row r="1" ht="42" hidden="0" customHeight="1">
      <x:c r="A1" s="52" t="str">
        <x:v>field</x:v>
      </x:c>
      <x:c r="B1" s="52" t="str">
        <x:v>meaning</x:v>
      </x:c>
      <x:c r="C1" s="52" t="str">
        <x:v>unit</x:v>
      </x:c>
      <x:c r="D1" s="52" t="str">
        <x:v>original_available</x:v>
      </x:c>
      <x:c r="E1" s="52" t="str">
        <x:v>construction</x:v>
      </x:c>
    </x:row>
    <x:row r="2" ht="34" hidden="0" customHeight="1">
      <x:c r="A2" s="48" t="str">
        <x:v>region_share_proxy</x:v>
      </x:c>
      <x:c r="B2" s="53" t="str">
        <x:v>Deterministic regional share used to distribute the national production anchor</x:v>
      </x:c>
      <x:c r="C2" s="48" t="str">
        <x:v>ratio</x:v>
      </x:c>
      <x:c r="D2" s="48" t="str">
        <x:v>no</x:v>
      </x:c>
      <x:c r="E2" s="53" t="str">
        <x:v>Seeded proxy generated in FisheryPPMSProblem(seed=1809036)</x:v>
      </x:c>
    </x:row>
    <x:row r="3" ht="34" hidden="0" customHeight="1">
      <x:c r="A3" s="48" t="str">
        <x:v>digital_index_proxy</x:v>
      </x:c>
      <x:c r="B3" s="53" t="str">
        <x:v>Proxy for the regional EWM digitalisation index described in the manuscript</x:v>
      </x:c>
      <x:c r="C3" s="48" t="str">
        <x:v>0-1 score</x:v>
      </x:c>
      <x:c r="D3" s="48" t="str">
        <x:v>no</x:v>
      </x:c>
      <x:c r="E3" s="53" t="str">
        <x:v>Deterministic spatial gradient plus seeded perturbation; not EWM observations</x:v>
      </x:c>
    </x:row>
    <x:row r="4" ht="34" hidden="0" customHeight="1">
      <x:c r="A4" s="48" t="str">
        <x:v>workforce_proxy_people</x:v>
      </x:c>
      <x:c r="B4" s="53" t="str">
        <x:v>Regional fishery workforce denominator</x:v>
      </x:c>
      <x:c r="C4" s="48" t="str">
        <x:v>people</x:v>
      </x:c>
      <x:c r="D4" s="48" t="str">
        <x:v>no</x:v>
      </x:c>
      <x:c r="E4" s="53" t="str">
        <x:v>National proxy distributed by region share with seeded perturbation</x:v>
      </x:c>
    </x:row>
    <x:row r="5" ht="34" hidden="0" customHeight="1">
      <x:c r="A5" s="48" t="str">
        <x:v>cold_capacity_proxy_tonnes</x:v>
      </x:c>
      <x:c r="B5" s="53" t="str">
        <x:v>Regional processing/cold-chain capacity</x:v>
      </x:c>
      <x:c r="C5" s="48" t="str">
        <x:v>tonnes</x:v>
      </x:c>
      <x:c r="D5" s="48" t="str">
        <x:v>no</x:v>
      </x:c>
      <x:c r="E5" s="53" t="str">
        <x:v>National production anchor multiplied by region share and proxy cold-chain intensity</x:v>
      </x:c>
    </x:row>
    <x:row r="6" ht="34" hidden="0" customHeight="1">
      <x:c r="A6" s="48" t="str">
        <x:v>power_capacity_proxy_kw</x:v>
      </x:c>
      <x:c r="B6" s="53" t="str">
        <x:v>Regional fleet-power capacity</x:v>
      </x:c>
      <x:c r="C6" s="48" t="str">
        <x:v>kW</x:v>
      </x:c>
      <x:c r="D6" s="48" t="str">
        <x:v>no</x:v>
      </x:c>
      <x:c r="E6" s="53" t="str">
        <x:v>2023 national power anchor distributed by region share with seeded perturbation</x:v>
      </x:c>
    </x:row>
    <x:row r="7" ht="34" hidden="0" customHeight="1">
      <x:c r="A7" s="48" t="str">
        <x:v>upper_bound_proxy_tonnes</x:v>
      </x:c>
      <x:c r="B7" s="53" t="str">
        <x:v>Maximum decoded allocation for one region-sector-mode decision variable</x:v>
      </x:c>
      <x:c r="C7" s="48" t="str">
        <x:v>tonnes</x:v>
      </x:c>
      <x:c r="D7" s="48" t="str">
        <x:v>no</x:v>
      </x:c>
      <x:c r="E7" s="53" t="str">
        <x:v>baseline_total x 1.20 x region share x sector share x mode share</x:v>
      </x:c>
    </x:row>
    <x:row r="8" ht="34" hidden="0" customHeight="1">
      <x:c r="A8" s="48" t="str">
        <x:v>income_coefficient_proxy</x:v>
      </x:c>
      <x:c r="B8" s="53" t="str">
        <x:v>Unit social-income coefficient</x:v>
      </x:c>
      <x:c r="C8" s="48" t="str">
        <x:v>normalized coefficient</x:v>
      </x:c>
      <x:c r="D8" s="48" t="str">
        <x:v>no</x:v>
      </x:c>
      <x:c r="E8" s="53" t="str">
        <x:v>Explicit 4x2 surrogate coefficient table</x:v>
      </x:c>
    </x:row>
    <x:row r="9" ht="34" hidden="0" customHeight="1">
      <x:c r="A9" s="48" t="str">
        <x:v>marginal_value_coefficient_proxy</x:v>
      </x:c>
      <x:c r="B9" s="53" t="str">
        <x:v>Processing/marketing marginal output value</x:v>
      </x:c>
      <x:c r="C9" s="48" t="str">
        <x:v>normalized coefficient</x:v>
      </x:c>
      <x:c r="D9" s="48" t="str">
        <x:v>no</x:v>
      </x:c>
      <x:c r="E9" s="53" t="str">
        <x:v>Explicit 4x2 surrogate coefficient table</x:v>
      </x:c>
    </x:row>
    <x:row r="10" ht="34" hidden="0" customHeight="1">
      <x:c r="A10" s="48" t="str">
        <x:v>supply_chain_cost_coefficient_proxy</x:v>
      </x:c>
      <x:c r="B10" s="53" t="str">
        <x:v>Processing and cold-chain/logistics cost</x:v>
      </x:c>
      <x:c r="C10" s="48" t="str">
        <x:v>normalized coefficient</x:v>
      </x:c>
      <x:c r="D10" s="48" t="str">
        <x:v>no</x:v>
      </x:c>
      <x:c r="E10" s="53" t="str">
        <x:v>Explicit 4x2 surrogate coefficient table</x:v>
      </x:c>
    </x:row>
    <x:row r="11" ht="34" hidden="0" customHeight="1">
      <x:c r="A11" s="48" t="str">
        <x:v>ecological_weight_proxy</x:v>
      </x:c>
      <x:c r="B11" s="53" t="str">
        <x:v>Relative ecological desirability weight</x:v>
      </x:c>
      <x:c r="C11" s="48" t="str">
        <x:v>normalized coefficient</x:v>
      </x:c>
      <x:c r="D11" s="48" t="str">
        <x:v>no</x:v>
      </x:c>
      <x:c r="E11" s="53" t="str">
        <x:v>Explicit 4x2 surrogate coefficient table</x:v>
      </x:c>
    </x:row>
    <x:row r="12" ht="34" hidden="0" customHeight="1">
      <x:c r="A12" s="48" t="str">
        <x:v>fleet_power_coefficient_proxy</x:v>
      </x:c>
      <x:c r="B12" s="53" t="str">
        <x:v>Sector-specific fleet-power intensity</x:v>
      </x:c>
      <x:c r="C12" s="48" t="str">
        <x:v>relative coefficient</x:v>
      </x:c>
      <x:c r="D12" s="48" t="str">
        <x:v>no</x:v>
      </x:c>
      <x:c r="E12" s="53" t="str">
        <x:v>Explicit 4-element surrogate coefficient vector</x:v>
      </x:c>
    </x:row>
  </x:sheetData>
  <x:pageMargins left="0.7" right="0.7" top="0.75" bottom="0.75" header="0.3" footer="0.3"/>
  <x:tableParts count="1">
    <x:tablePart xmlns:r="http://schemas.openxmlformats.org/officeDocument/2006/relationships" r:id="R52055ea5c26d419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52" hidden="0" customWidth="1"/>
    <x:col min="3" max="3" width="28" hidden="0" customWidth="1"/>
    <x:col min="4" max="4" width="62" hidden="0" customWidth="1"/>
    <x:col min="5" max="5" width="48" hidden="0" customWidth="1"/>
    <x:col min="6" max="6" width="18" hidden="0" customWidth="1"/>
  </x:cols>
  <x:sheetData>
    <x:row r="1" ht="42" hidden="0" customHeight="1">
      <x:c r="A1" s="52" t="str">
        <x:v>request_item</x:v>
      </x:c>
      <x:c r="B1" s="52" t="str">
        <x:v>expected_material_or_variable</x:v>
      </x:c>
      <x:c r="C1" s="52" t="str">
        <x:v>status</x:v>
      </x:c>
      <x:c r="D1" s="52" t="str">
        <x:v>reason</x:v>
      </x:c>
      <x:c r="E1" s="52" t="str">
        <x:v>current_replacement</x:v>
      </x:c>
      <x:c r="F1" s="52" t="str">
        <x:v>may_be_described_as_original</x:v>
      </x:c>
    </x:row>
    <x:row r="2" ht="42" hidden="0" customHeight="1">
      <x:c r="A2" s="48" t="n">
        <x:v>1</x:v>
      </x:c>
      <x:c r="B2" s="53" t="str">
        <x:v>Contemporaneous 31-province coefficient/input matrix</x:v>
      </x:c>
      <x:c r="C2" s="48" t="str">
        <x:v>unavailable_in_retained_archive</x:v>
      </x:c>
      <x:c r="D2" s="53" t="str">
        <x:v>No province-level input workbook or matrix file is present among the retained manuscript and repository materials</x:v>
      </x:c>
      <x:c r="E2" s="53" t="str">
        <x:v>03_Reconstructed_31_Province_Inputs.xlsx</x:v>
      </x:c>
      <x:c r="F2" s="48" t="str">
        <x:v>no</x:v>
      </x:c>
    </x:row>
    <x:row r="3" ht="42" hidden="0" customHeight="1">
      <x:c r="A3" s="48" t="n">
        <x:v>1</x:v>
      </x:c>
      <x:c r="B3" s="53" t="str">
        <x:v>Original region-index-to-province mapping r01-r31</x:v>
      </x:c>
      <x:c r="C3" s="48" t="str">
        <x:v>unavailable_in_retained_archive</x:v>
      </x:c>
      <x:c r="D3" s="53" t="str">
        <x:v>The manuscript defines 31 regions but does not disclose the row order</x:v>
      </x:c>
      <x:c r="E3" s="53" t="str">
        <x:v>data/reconstructed/province_inputs.csv</x:v>
      </x:c>
      <x:c r="F3" s="48" t="str">
        <x:v>no</x:v>
      </x:c>
    </x:row>
    <x:row r="4" ht="42" hidden="0" customHeight="1">
      <x:c r="A4" s="48" t="n">
        <x:v>1</x:v>
      </x:c>
      <x:c r="B4" s="53" t="str">
        <x:v>Production inputs by province/year/sector: marine capture; freshwater capture; marine aquaculture; freshwater aquaculture</x:v>
      </x:c>
      <x:c r="C4" s="48" t="str">
        <x:v>unavailable_in_retained_archive</x:v>
      </x:c>
      <x:c r="D4" s="53" t="str">
        <x:v>Only national longitudinal totals and later public extracts are retained</x:v>
      </x:c>
      <x:c r="E4" s="53" t="str">
        <x:v>data/reconstructed/coefficient_matrix_248_rows.csv</x:v>
      </x:c>
      <x:c r="F4" s="48" t="str">
        <x:v>no</x:v>
      </x:c>
    </x:row>
    <x:row r="5" ht="42" hidden="0" customHeight="1">
      <x:c r="A5" s="48" t="n">
        <x:v>1</x:v>
      </x:c>
      <x:c r="B5" s="53" t="str">
        <x:v>Utilisation split by province between fresh sales and deep processing</x:v>
      </x:c>
      <x:c r="C5" s="48" t="str">
        <x:v>unavailable_in_retained_archive</x:v>
      </x:c>
      <x:c r="D5" s="53" t="str">
        <x:v>No province-by-mode historical table is retained</x:v>
      </x:c>
      <x:c r="E5" s="53" t="str">
        <x:v>data/reconstructed/coefficient_matrix_248_rows.csv</x:v>
      </x:c>
      <x:c r="F5" s="48" t="str">
        <x:v>no</x:v>
      </x:c>
    </x:row>
    <x:row r="6" ht="42" hidden="0" customHeight="1">
      <x:c r="A6" s="48" t="n">
        <x:v>1</x:v>
      </x:c>
      <x:c r="B6" s="53" t="str">
        <x:v>Regional workforce N_r and unit-income coefficients</x:v>
      </x:c>
      <x:c r="C6" s="48" t="str">
        <x:v>unavailable_in_retained_archive</x:v>
      </x:c>
      <x:c r="D6" s="53" t="str">
        <x:v>The manuscript gives definitions but not the 31-region values or construction workbook</x:v>
      </x:c>
      <x:c r="E6" s="53" t="str">
        <x:v>data/reconstructed/province_inputs.csv and sector_mode_coefficients.csv</x:v>
      </x:c>
      <x:c r="F6" s="48" t="str">
        <x:v>no</x:v>
      </x:c>
    </x:row>
    <x:row r="7" ht="42" hidden="0" customHeight="1">
      <x:c r="A7" s="48" t="n">
        <x:v>1</x:v>
      </x:c>
      <x:c r="B7" s="53" t="str">
        <x:v>Digitalisation inputs: VMS/AIS density; traceability adoption; temperature-monitoring coverage; EWM weights; D_r</x:v>
      </x:c>
      <x:c r="C7" s="48" t="str">
        <x:v>unavailable_in_retained_archive</x:v>
      </x:c>
      <x:c r="D7" s="53" t="str">
        <x:v>The manuscript lists dimensions but not observations, normalisation bounds, entropy weights, or final regional index</x:v>
      </x:c>
      <x:c r="E7" s="53" t="str">
        <x:v>data/reconstructed/province_inputs.csv</x:v>
      </x:c>
      <x:c r="F7" s="48" t="str">
        <x:v>no</x:v>
      </x:c>
    </x:row>
    <x:row r="8" ht="42" hidden="0" customHeight="1">
      <x:c r="A8" s="48" t="n">
        <x:v>1</x:v>
      </x:c>
      <x:c r="B8" s="53" t="str">
        <x:v>Marginal output values, processing/marketing values, and supply-chain costs</x:v>
      </x:c>
      <x:c r="C8" s="48" t="str">
        <x:v>unavailable_in_retained_archive</x:v>
      </x:c>
      <x:c r="D8" s="53" t="str">
        <x:v>No coefficient table or source workbook is retained</x:v>
      </x:c>
      <x:c r="E8" s="53" t="str">
        <x:v>data/reconstructed/sector_mode_coefficients.csv</x:v>
      </x:c>
      <x:c r="F8" s="48" t="str">
        <x:v>no</x:v>
      </x:c>
    </x:row>
    <x:row r="9" ht="42" hidden="0" customHeight="1">
      <x:c r="A9" s="48" t="n">
        <x:v>1</x:v>
      </x:c>
      <x:c r="B9" s="53" t="str">
        <x:v>Regional ecological weights and regional TAC limits</x:v>
      </x:c>
      <x:c r="C9" s="48" t="str">
        <x:v>unavailable_in_retained_archive</x:v>
      </x:c>
      <x:c r="D9" s="53" t="str">
        <x:v>The manuscript defines the quantities but does not publish the province-level values</x:v>
      </x:c>
      <x:c r="E9" s="53" t="str">
        <x:v>data/reconstructed/coefficient_matrix_248_rows.csv and national_constraints.csv</x:v>
      </x:c>
      <x:c r="F9" s="48" t="str">
        <x:v>no</x:v>
      </x:c>
    </x:row>
    <x:row r="10" ht="42" hidden="0" customHeight="1">
      <x:c r="A10" s="48" t="n">
        <x:v>1</x:v>
      </x:c>
      <x:c r="B10" s="53" t="str">
        <x:v>Regional cold-storage throughput, cold-chain capacity and 2014-2023 moving-average CCI</x:v>
      </x:c>
      <x:c r="C10" s="48" t="str">
        <x:v>unavailable_in_retained_archive</x:v>
      </x:c>
      <x:c r="D10" s="53" t="str">
        <x:v>The manuscript cites the China Fisheries Statistical Yearbook but the underlying extracted workbook and moving-average calculation file are not retained</x:v>
      </x:c>
      <x:c r="E10" s="53" t="str">
        <x:v>data/reconstructed/province_inputs.csv</x:v>
      </x:c>
      <x:c r="F10" s="48" t="str">
        <x:v>no</x:v>
      </x:c>
    </x:row>
    <x:row r="11" ht="42" hidden="0" customHeight="1">
      <x:c r="A11" s="48" t="n">
        <x:v>1</x:v>
      </x:c>
      <x:c r="B11" s="53" t="str">
        <x:v>Regional fleet-power limits, minimum supply and flow-balance inputs</x:v>
      </x:c>
      <x:c r="C11" s="48" t="str">
        <x:v>unavailable_in_retained_archive</x:v>
      </x:c>
      <x:c r="D11" s="53" t="str">
        <x:v>No province-level constraint file is retained</x:v>
      </x:c>
      <x:c r="E11" s="53" t="str">
        <x:v>data/reconstructed/province_inputs.csv and national_constraints.csv</x:v>
      </x:c>
      <x:c r="F11" s="48" t="str">
        <x:v>no</x:v>
      </x:c>
    </x:row>
    <x:row r="12" ht="42" hidden="0" customHeight="1">
      <x:c r="A12" s="48" t="n">
        <x:v>2</x:v>
      </x:c>
      <x:c r="B12" s="53" t="str">
        <x:v>Original raw/source spreadsheets used to build the matrix</x:v>
      </x:c>
      <x:c r="C12" s="48" t="str">
        <x:v>unavailable_in_retained_archive</x:v>
      </x:c>
      <x:c r="D12" s="53" t="str">
        <x:v>No contemporaneous raw workbook, cleaned workbook, or join/interpolation file is present</x:v>
      </x:c>
      <x:c r="E12" s="53" t="str">
        <x:v>data/source/</x:v>
      </x:c>
      <x:c r="F12" s="48" t="str">
        <x:v>no</x:v>
      </x:c>
    </x:row>
    <x:row r="13" ht="42" hidden="0" customHeight="1">
      <x:c r="A13" s="48" t="n">
        <x:v>2</x:v>
      </x:c>
      <x:c r="B13" s="53" t="str">
        <x:v>Preprocessing log: unit conversion, interpolation, moving-average completion, harmonisation and EWM calculation</x:v>
      </x:c>
      <x:c r="C13" s="48" t="str">
        <x:v>unavailable_in_retained_archive</x:v>
      </x:c>
      <x:c r="D13" s="53" t="str">
        <x:v>The manuscript describes these procedures but no row-level transformation log is retained</x:v>
      </x:c>
      <x:c r="E13" s="53" t="str">
        <x:v>data/reconstructed/variable_dictionary.csv</x:v>
      </x:c>
      <x:c r="F13" s="48" t="str">
        <x:v>no</x:v>
      </x:c>
    </x:row>
    <x:row r="14" ht="42" hidden="0" customHeight="1">
      <x:c r="A14" s="48" t="n">
        <x:v>3</x:v>
      </x:c>
      <x:c r="B14" s="53" t="str">
        <x:v>Original seeds, initial populations and 30-run configuration snapshot</x:v>
      </x:c>
      <x:c r="C14" s="48" t="str">
        <x:v>unavailable_in_retained_archive</x:v>
      </x:c>
      <x:c r="D14" s="53" t="str">
        <x:v>The manuscript reports 30 runs and aggregate settings but no contemporaneous run configuration is retained</x:v>
      </x:c>
      <x:c r="E14" s="53" t="str">
        <x:v>runs/new_30run_surrogate/config_snapshot.yaml</x:v>
      </x:c>
      <x:c r="F14" s="48" t="str">
        <x:v>no</x:v>
      </x:c>
    </x:row>
    <x:row r="15" ht="42" hidden="0" customHeight="1">
      <x:c r="A15" s="48" t="n">
        <x:v>3</x:v>
      </x:c>
      <x:c r="B15" s="53" t="str">
        <x:v>Original per-generation populations, objectives, constraints, feasibility and reference-point relocation histories</x:v>
      </x:c>
      <x:c r="C15" s="48" t="str">
        <x:v>unavailable_in_retained_archive</x:v>
      </x:c>
      <x:c r="D15" s="53" t="str">
        <x:v>No historical run directory or logs are present</x:v>
      </x:c>
      <x:c r="E15" s="53" t="str">
        <x:v>runs/new_30run_surrogate/generation_log.csv and reference_relocation_log.csv</x:v>
      </x:c>
      <x:c r="F15" s="48" t="str">
        <x:v>no</x:v>
      </x:c>
    </x:row>
    <x:row r="16" ht="42" hidden="0" customHeight="1">
      <x:c r="A16" s="48" t="n">
        <x:v>3</x:v>
      </x:c>
      <x:c r="B16" s="53" t="str">
        <x:v>Original final decision vectors and non-dominated fronts</x:v>
      </x:c>
      <x:c r="C16" s="48" t="str">
        <x:v>unavailable_in_retained_archive</x:v>
      </x:c>
      <x:c r="D16" s="53" t="str">
        <x:v>No historical population or Pareto-front files are present</x:v>
      </x:c>
      <x:c r="E16" s="53" t="str">
        <x:v>runs/new_30run_surrogate/final_population_decision_vectors.csv and final_population_objectives_constraints.csv</x:v>
      </x:c>
      <x:c r="F16" s="48" t="str">
        <x:v>no</x:v>
      </x:c>
    </x:row>
    <x:row r="17" ht="42" hidden="0" customHeight="1">
      <x:c r="A17" s="48" t="n">
        <x:v>3</x:v>
      </x:c>
      <x:c r="B17" s="53" t="str">
        <x:v>Original HV normalisation, HV reference point, IGD reference front and per-run metric values</x:v>
      </x:c>
      <x:c r="C17" s="48" t="str">
        <x:v>unavailable_in_retained_archive</x:v>
      </x:c>
      <x:c r="D17" s="53" t="str">
        <x:v>The manuscript reports aggregate/figure values but does not disclose the full metric definition or reference set</x:v>
      </x:c>
      <x:c r="E17" s="53" t="str">
        <x:v>runs/new_30run_surrogate/metric_definition.json and metric_recomputation_check.csv</x:v>
      </x:c>
      <x:c r="F17" s="48" t="str">
        <x:v>no</x:v>
      </x:c>
    </x:row>
    <x:row r="18" ht="42" hidden="0" customHeight="1">
      <x:c r="A18" s="48" t="n">
        <x:v>3</x:v>
      </x:c>
      <x:c r="B18" s="53" t="str">
        <x:v>Original runtime versions, hardware, elapsed time and random-number environment</x:v>
      </x:c>
      <x:c r="C18" s="48" t="str">
        <x:v>unavailable_in_retained_archive</x:v>
      </x:c>
      <x:c r="D18" s="53" t="str">
        <x:v>No contemporaneous environment lock or machine log is retained</x:v>
      </x:c>
      <x:c r="E18" s="53" t="str">
        <x:v>runs/new_30run_surrogate/run_metadata.json</x:v>
      </x:c>
      <x:c r="F18" s="48" t="str">
        <x:v>no</x:v>
      </x:c>
    </x:row>
    <x:row r="19" ht="42" hidden="0" customHeight="1">
      <x:c r="A19" s="48" t="n">
        <x:v>3</x:v>
      </x:c>
      <x:c r="B19" s="53" t="str">
        <x:v>Original sensitivity-analysis and ablation run logs</x:v>
      </x:c>
      <x:c r="C19" s="48" t="str">
        <x:v>unavailable_in_retained_archive</x:v>
      </x:c>
      <x:c r="D19" s="53" t="str">
        <x:v>Only plotted/aggregate results are present</x:v>
      </x:c>
      <x:c r="E19" s="53" t="str">
        <x:v>../results/data/ and ../implementations/figure_06 through figure_10</x:v>
      </x:c>
      <x:c r="F19" s="48" t="str">
        <x:v>no</x:v>
      </x:c>
    </x:row>
  </x:sheetData>
  <x:pageMargins left="0.7" right="0.7" top="0.75" bottom="0.75" header="0.3" footer="0.3"/>
  <x:tableParts count="1">
    <x:tablePart xmlns:r="http://schemas.openxmlformats.org/officeDocument/2006/relationships" r:id="Rca333054f6684f36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2" hidden="0" customWidth="1"/>
    <x:col min="3" max="3" width="38" hidden="0" customWidth="1"/>
    <x:col min="4" max="4" width="36" hidden="0" customWidth="1"/>
    <x:col min="5" max="5" width="62" hidden="0" customWidth="1"/>
    <x:col min="6" max="6" width="42" hidden="0" customWidth="1"/>
    <x:col min="7" max="7" width="30" hidden="0" customWidth="1"/>
    <x:col min="8" max="8" width="48" hidden="0" customWidth="1"/>
    <x:col min="9" max="9" width="16" hidden="0" customWidth="1"/>
    <x:col min="10" max="10" width="55" hidden="0" customWidth="1"/>
  </x:cols>
  <x:sheetData>
    <x:row r="1" ht="42" hidden="0" customHeight="1">
      <x:c r="A1" s="52" t="str">
        <x:v>source_id</x:v>
      </x:c>
      <x:c r="B1" s="52" t="str">
        <x:v>publisher</x:v>
      </x:c>
      <x:c r="C1" s="52" t="str">
        <x:v>dataset</x:v>
      </x:c>
      <x:c r="D1" s="52" t="str">
        <x:v>coverage</x:v>
      </x:c>
      <x:c r="E1" s="52" t="str">
        <x:v>url</x:v>
      </x:c>
      <x:c r="F1" s="52" t="str">
        <x:v>access</x:v>
      </x:c>
      <x:c r="G1" s="52" t="str">
        <x:v>license_or_terms</x:v>
      </x:c>
      <x:c r="H1" s="52" t="str">
        <x:v>repository_file</x:v>
      </x:c>
      <x:c r="I1" s="52" t="str">
        <x:v>retrieved_on</x:v>
      </x:c>
      <x:c r="J1" s="52" t="str">
        <x:v>notes</x:v>
      </x:c>
    </x:row>
    <x:row r="2" ht="46" hidden="0" customHeight="1">
      <x:c r="A2" s="48" t="str">
        <x:v>world_bank_er_fsh_prod_mt</x:v>
      </x:c>
      <x:c r="B2" s="48" t="str">
        <x:v>World Bank / FAO</x:v>
      </x:c>
      <x:c r="C2" s="53" t="str">
        <x:v>Total fisheries production</x:v>
      </x:c>
      <x:c r="D2" s="53" t="str">
        <x:v>China, 2014-2023 snapshot</x:v>
      </x:c>
      <x:c r="E2" s="48" t="str">
        <x:v>https://api.worldbank.org/v2/country/CHN/indicator/ER.FSH.PROD.MT?format=json&amp;date=2014:2023&amp;per_page=100</x:v>
      </x:c>
      <x:c r="F2" s="53" t="str">
        <x:v>Downloaded and normalized</x:v>
      </x:c>
      <x:c r="G2" s="53" t="str">
        <x:v>CC BY 4.0</x:v>
      </x:c>
      <x:c r="H2" s="53" t="str">
        <x:v>data/public/world_bank_fao_china_fisheries_2014_2023.csv</x:v>
      </x:c>
      <x:c r="I2" s="48" t="str">
        <x:v>2026-07-23</x:v>
      </x:c>
      <x:c r="J2" s="53" t="str">
        <x:v>National series; not a substitute for the missing 31-province coefficient matrix.</x:v>
      </x:c>
    </x:row>
    <x:row r="3" ht="46" hidden="0" customHeight="1">
      <x:c r="A3" s="48" t="str">
        <x:v>world_bank_er_fsh_aqua_mt</x:v>
      </x:c>
      <x:c r="B3" s="48" t="str">
        <x:v>World Bank / FAO</x:v>
      </x:c>
      <x:c r="C3" s="53" t="str">
        <x:v>Aquaculture production</x:v>
      </x:c>
      <x:c r="D3" s="53" t="str">
        <x:v>China, 2014-2023 snapshot</x:v>
      </x:c>
      <x:c r="E3" s="48" t="str">
        <x:v>https://api.worldbank.org/v2/country/CHN/indicator/ER.FSH.AQUA.MT?format=json&amp;date=2014:2023&amp;per_page=100</x:v>
      </x:c>
      <x:c r="F3" s="53" t="str">
        <x:v>Downloaded and normalized</x:v>
      </x:c>
      <x:c r="G3" s="53" t="str">
        <x:v>CC BY 4.0</x:v>
      </x:c>
      <x:c r="H3" s="53" t="str">
        <x:v>data/public/world_bank_fao_china_fisheries_2014_2023.csv</x:v>
      </x:c>
      <x:c r="I3" s="48" t="str">
        <x:v>2026-07-23</x:v>
      </x:c>
      <x:c r="J3" s="53" t="str">
        <x:v>National series; not a substitute for the missing 31-province coefficient matrix.</x:v>
      </x:c>
    </x:row>
    <x:row r="4" ht="46" hidden="0" customHeight="1">
      <x:c r="A4" s="48" t="str">
        <x:v>world_bank_er_fsh_capt_mt</x:v>
      </x:c>
      <x:c r="B4" s="48" t="str">
        <x:v>World Bank / FAO</x:v>
      </x:c>
      <x:c r="C4" s="53" t="str">
        <x:v>Capture fisheries production</x:v>
      </x:c>
      <x:c r="D4" s="53" t="str">
        <x:v>China, 2014-2023 snapshot</x:v>
      </x:c>
      <x:c r="E4" s="48" t="str">
        <x:v>https://api.worldbank.org/v2/country/CHN/indicator/ER.FSH.CAPT.MT?format=json&amp;date=2014:2023&amp;per_page=100</x:v>
      </x:c>
      <x:c r="F4" s="53" t="str">
        <x:v>Downloaded and normalized</x:v>
      </x:c>
      <x:c r="G4" s="53" t="str">
        <x:v>CC BY 4.0</x:v>
      </x:c>
      <x:c r="H4" s="53" t="str">
        <x:v>data/public/world_bank_fao_china_fisheries_2014_2023.csv</x:v>
      </x:c>
      <x:c r="I4" s="48" t="str">
        <x:v>2026-07-23</x:v>
      </x:c>
      <x:c r="J4" s="53" t="str">
        <x:v>National series; not a substitute for the missing 31-province coefficient matrix.</x:v>
      </x:c>
    </x:row>
    <x:row r="5" ht="46" hidden="0" customHeight="1">
      <x:c r="A5" s="48" t="str">
        <x:v>moa_communique_2015</x:v>
      </x:c>
      <x:c r="B5" s="48" t="str">
        <x:v>Ministry of Agriculture and Rural Affairs of the PRC</x:v>
      </x:c>
      <x:c r="C5" s="53" t="str">
        <x:v>2015 national fishery economic statistics communique</x:v>
      </x:c>
      <x:c r="D5" s="53" t="str">
        <x:v>China, 2015</x:v>
      </x:c>
      <x:c r="E5" s="48" t="str">
        <x:v>https://yyj.moa.gov.cn/gzdt/201904/t20190418_6195519.htm</x:v>
      </x:c>
      <x:c r="F5" s="53" t="str">
        <x:v>Key statistics extracted from official HTML</x:v>
      </x:c>
      <x:c r="G5" s="53" t="str">
        <x:v>Official website terms apply; numerical facts extracted with attribution</x:v>
      </x:c>
      <x:c r="H5" s="53" t="str">
        <x:v>data/public/moa_national_fishery_statistics.csv</x:v>
      </x:c>
      <x:c r="I5" s="48" t="str">
        <x:v>2026-07-23</x:v>
      </x:c>
      <x:c r="J5" s="53" t="str">
        <x:v>2017 is an attachment-only legacy DOC and 2018 was not available as an accessible official HTML page; neither is silently interpolated.</x:v>
      </x:c>
    </x:row>
    <x:row r="6" ht="46" hidden="0" customHeight="1">
      <x:c r="A6" s="48" t="str">
        <x:v>moa_communique_2016</x:v>
      </x:c>
      <x:c r="B6" s="48" t="str">
        <x:v>Ministry of Agriculture and Rural Affairs of the PRC</x:v>
      </x:c>
      <x:c r="C6" s="53" t="str">
        <x:v>2016 national fishery economic statistics communique</x:v>
      </x:c>
      <x:c r="D6" s="53" t="str">
        <x:v>China, 2016</x:v>
      </x:c>
      <x:c r="E6" s="48" t="str">
        <x:v>https://yyj.moa.gov.cn/gzdt/201904/t20190418_6195820.htm</x:v>
      </x:c>
      <x:c r="F6" s="53" t="str">
        <x:v>Key statistics extracted from official HTML</x:v>
      </x:c>
      <x:c r="G6" s="53" t="str">
        <x:v>Official website terms apply; numerical facts extracted with attribution</x:v>
      </x:c>
      <x:c r="H6" s="53" t="str">
        <x:v>data/public/moa_national_fishery_statistics.csv</x:v>
      </x:c>
      <x:c r="I6" s="48" t="str">
        <x:v>2026-07-23</x:v>
      </x:c>
      <x:c r="J6" s="53" t="str">
        <x:v>2017 is an attachment-only legacy DOC and 2018 was not available as an accessible official HTML page; neither is silently interpolated.</x:v>
      </x:c>
    </x:row>
    <x:row r="7" ht="46" hidden="0" customHeight="1">
      <x:c r="A7" s="48" t="str">
        <x:v>moa_communique_2019</x:v>
      </x:c>
      <x:c r="B7" s="48" t="str">
        <x:v>Ministry of Agriculture and Rural Affairs of the PRC</x:v>
      </x:c>
      <x:c r="C7" s="53" t="str">
        <x:v>2019 national fishery economic statistics communique</x:v>
      </x:c>
      <x:c r="D7" s="53" t="str">
        <x:v>China, 2019</x:v>
      </x:c>
      <x:c r="E7" s="48" t="str">
        <x:v>https://cnafun.moa.gov.cn/kx/gn/202006/t20200619_6346974.html</x:v>
      </x:c>
      <x:c r="F7" s="53" t="str">
        <x:v>Key statistics extracted from official HTML</x:v>
      </x:c>
      <x:c r="G7" s="53" t="str">
        <x:v>Official website terms apply; numerical facts extracted with attribution</x:v>
      </x:c>
      <x:c r="H7" s="53" t="str">
        <x:v>data/public/moa_national_fishery_statistics.csv</x:v>
      </x:c>
      <x:c r="I7" s="48" t="str">
        <x:v>2026-07-23</x:v>
      </x:c>
      <x:c r="J7" s="53" t="str">
        <x:v>2017 is an attachment-only legacy DOC and 2018 was not available as an accessible official HTML page; neither is silently interpolated.</x:v>
      </x:c>
    </x:row>
    <x:row r="8" ht="46" hidden="0" customHeight="1">
      <x:c r="A8" s="48" t="str">
        <x:v>moa_communique_2020</x:v>
      </x:c>
      <x:c r="B8" s="48" t="str">
        <x:v>Ministry of Agriculture and Rural Affairs of the PRC</x:v>
      </x:c>
      <x:c r="C8" s="53" t="str">
        <x:v>2020 national fishery economic statistics communique</x:v>
      </x:c>
      <x:c r="D8" s="53" t="str">
        <x:v>China, 2020</x:v>
      </x:c>
      <x:c r="E8" s="48" t="str">
        <x:v>https://yyj.moa.gov.cn/gzdt/202107/t20210728_6372958.htm</x:v>
      </x:c>
      <x:c r="F8" s="53" t="str">
        <x:v>Key statistics extracted from official HTML</x:v>
      </x:c>
      <x:c r="G8" s="53" t="str">
        <x:v>Official website terms apply; numerical facts extracted with attribution</x:v>
      </x:c>
      <x:c r="H8" s="53" t="str">
        <x:v>data/public/moa_national_fishery_statistics.csv</x:v>
      </x:c>
      <x:c r="I8" s="48" t="str">
        <x:v>2026-07-23</x:v>
      </x:c>
      <x:c r="J8" s="53" t="str">
        <x:v>2017 is an attachment-only legacy DOC and 2018 was not available as an accessible official HTML page; neither is silently interpolated.</x:v>
      </x:c>
    </x:row>
    <x:row r="9" ht="46" hidden="0" customHeight="1">
      <x:c r="A9" s="48" t="str">
        <x:v>moa_communique_2021</x:v>
      </x:c>
      <x:c r="B9" s="48" t="str">
        <x:v>Ministry of Agriculture and Rural Affairs of the PRC</x:v>
      </x:c>
      <x:c r="C9" s="53" t="str">
        <x:v>2021 national fishery economic statistics communique</x:v>
      </x:c>
      <x:c r="D9" s="53" t="str">
        <x:v>China, 2021</x:v>
      </x:c>
      <x:c r="E9" s="48" t="str">
        <x:v>https://yyj.moa.gov.cn/gzdt/202207/t20220721_6405222.htm</x:v>
      </x:c>
      <x:c r="F9" s="53" t="str">
        <x:v>Key statistics extracted from official HTML</x:v>
      </x:c>
      <x:c r="G9" s="53" t="str">
        <x:v>Official website terms apply; numerical facts extracted with attribution</x:v>
      </x:c>
      <x:c r="H9" s="53" t="str">
        <x:v>data/public/moa_national_fishery_statistics.csv</x:v>
      </x:c>
      <x:c r="I9" s="48" t="str">
        <x:v>2026-07-23</x:v>
      </x:c>
      <x:c r="J9" s="53" t="str">
        <x:v>2017 is an attachment-only legacy DOC and 2018 was not available as an accessible official HTML page; neither is silently interpolated.</x:v>
      </x:c>
    </x:row>
    <x:row r="10" ht="46" hidden="0" customHeight="1">
      <x:c r="A10" s="48" t="str">
        <x:v>moa_communique_2022</x:v>
      </x:c>
      <x:c r="B10" s="48" t="str">
        <x:v>Ministry of Agriculture and Rural Affairs of the PRC</x:v>
      </x:c>
      <x:c r="C10" s="53" t="str">
        <x:v>2022 national fishery economic statistics communique</x:v>
      </x:c>
      <x:c r="D10" s="53" t="str">
        <x:v>China, 2022</x:v>
      </x:c>
      <x:c r="E10" s="48" t="str">
        <x:v>https://yyj.moa.gov.cn/yqxx/202306/t20230628_6431131.htm</x:v>
      </x:c>
      <x:c r="F10" s="53" t="str">
        <x:v>Key statistics extracted from official HTML</x:v>
      </x:c>
      <x:c r="G10" s="53" t="str">
        <x:v>Official website terms apply; numerical facts extracted with attribution</x:v>
      </x:c>
      <x:c r="H10" s="53" t="str">
        <x:v>data/public/moa_national_fishery_statistics.csv</x:v>
      </x:c>
      <x:c r="I10" s="48" t="str">
        <x:v>2026-07-23</x:v>
      </x:c>
      <x:c r="J10" s="53" t="str">
        <x:v>2017 is an attachment-only legacy DOC and 2018 was not available as an accessible official HTML page; neither is silently interpolated.</x:v>
      </x:c>
    </x:row>
    <x:row r="11" ht="46" hidden="0" customHeight="1">
      <x:c r="A11" s="48" t="str">
        <x:v>moa_communique_2023</x:v>
      </x:c>
      <x:c r="B11" s="48" t="str">
        <x:v>Ministry of Agriculture and Rural Affairs of the PRC</x:v>
      </x:c>
      <x:c r="C11" s="53" t="str">
        <x:v>2023 national fishery economic statistics communique</x:v>
      </x:c>
      <x:c r="D11" s="53" t="str">
        <x:v>China, 2023</x:v>
      </x:c>
      <x:c r="E11" s="48" t="str">
        <x:v>https://yyj.moa.gov.cn/gzdt/202407/t20240705_6458486.htm</x:v>
      </x:c>
      <x:c r="F11" s="53" t="str">
        <x:v>Key statistics extracted from official HTML</x:v>
      </x:c>
      <x:c r="G11" s="53" t="str">
        <x:v>Official website terms apply; numerical facts extracted with attribution</x:v>
      </x:c>
      <x:c r="H11" s="53" t="str">
        <x:v>data/public/moa_national_fishery_statistics.csv</x:v>
      </x:c>
      <x:c r="I11" s="48" t="str">
        <x:v>2026-07-23</x:v>
      </x:c>
      <x:c r="J11" s="53" t="str">
        <x:v>2017 is an attachment-only legacy DOC and 2018 was not available as an accessible official HTML page; neither is silently interpolated.</x:v>
      </x:c>
    </x:row>
    <x:row r="12" ht="46" hidden="0" customHeight="1">
      <x:c r="A12" s="48" t="str">
        <x:v>moa_communique_2024</x:v>
      </x:c>
      <x:c r="B12" s="48" t="str">
        <x:v>Ministry of Agriculture and Rural Affairs of the PRC</x:v>
      </x:c>
      <x:c r="C12" s="53" t="str">
        <x:v>2024 national fishery economic statistics communique</x:v>
      </x:c>
      <x:c r="D12" s="53" t="str">
        <x:v>China, 2024</x:v>
      </x:c>
      <x:c r="E12" s="48" t="str">
        <x:v>https://yyj.moa.gov.cn/gzdt/202507/t20250707_6475475.htm</x:v>
      </x:c>
      <x:c r="F12" s="53" t="str">
        <x:v>Key statistics extracted from official HTML</x:v>
      </x:c>
      <x:c r="G12" s="53" t="str">
        <x:v>Official website terms apply; numerical facts extracted with attribution</x:v>
      </x:c>
      <x:c r="H12" s="53" t="str">
        <x:v>data/public/moa_national_fishery_statistics.csv</x:v>
      </x:c>
      <x:c r="I12" s="48" t="str">
        <x:v>2026-07-23</x:v>
      </x:c>
      <x:c r="J12" s="53" t="str">
        <x:v>2017 is an attachment-only legacy DOC and 2018 was not available as an accessible official HTML page; neither is silently interpolated.</x:v>
      </x:c>
    </x:row>
    <x:row r="13" ht="46" hidden="0" customHeight="1">
      <x:c r="A13" s="48" t="str">
        <x:v>moa_2024_detailed</x:v>
      </x:c>
      <x:c r="B13" s="48" t="str">
        <x:v>Ministry of Agriculture and Rural Affairs of the PRC</x:v>
      </x:c>
      <x:c r="C13" s="53" t="str">
        <x:v>2024 national fishery economic statistics communique, detailed extraction</x:v>
      </x:c>
      <x:c r="D13" s="53" t="str">
        <x:v>China, 2024; economy, production, species, area, fleet, population, processing, trade, disasters</x:v>
      </x:c>
      <x:c r="E13" s="48" t="str">
        <x:v>https://yyj.moa.gov.cn/gzdt/202507/t20250707_6475475.htm</x:v>
      </x:c>
      <x:c r="F13" s="53" t="str">
        <x:v>Detailed statistics extracted and normalized from official HTML</x:v>
      </x:c>
      <x:c r="G13" s="53" t="str">
        <x:v>Official website terms apply; numerical facts extracted with attribution</x:v>
      </x:c>
      <x:c r="H13" s="53" t="str">
        <x:v>data/public/moa_2024_detailed_fishery_statistics.csv</x:v>
      </x:c>
      <x:c r="I13" s="48" t="str">
        <x:v>2026-07-23</x:v>
      </x:c>
      <x:c r="J13" s="53" t="str">
        <x:v>经过处理的数据（公开来源）; reported values and units are retained beside normalized values.</x:v>
      </x:c>
    </x:row>
    <x:row r="14" ht="46" hidden="0" customHeight="1">
      <x:c r="A14" s="48" t="str">
        <x:v>moa_environment_2024</x:v>
      </x:c>
      <x:c r="B14" s="48" t="str">
        <x:v>Ministry of Agriculture and Rural Affairs / Ministry of Ecology and Environment</x:v>
      </x:c>
      <x:c r="C14" s="53" t="str">
        <x:v>China fishery ecological environment status communique 2024 summary</x:v>
      </x:c>
      <x:c r="D14" s="53" t="str">
        <x:v>China, 2024; monitoring network and selected exceedance-area changes</x:v>
      </x:c>
      <x:c r="E14" s="48" t="str">
        <x:v>https://cjyzbgs.moa.gov.cn/gzdt/202509/t20250918_6477465.htm</x:v>
      </x:c>
      <x:c r="F14" s="53" t="str">
        <x:v>Statistics extracted and normalized from official HTML summary</x:v>
      </x:c>
      <x:c r="G14" s="53" t="str">
        <x:v>Official website terms apply; numerical facts extracted with attribution</x:v>
      </x:c>
      <x:c r="H14" s="53" t="str">
        <x:v>data/public/moa_fishery_environment_2024.csv</x:v>
      </x:c>
      <x:c r="I14" s="48" t="str">
        <x:v>2026-07-23</x:v>
      </x:c>
      <x:c r="J14" s="53" t="str">
        <x:v>经过处理的数据（公开来源）; decline magnitudes are not absolute concentration levels.</x:v>
      </x:c>
    </x:row>
    <x:row r="15" ht="46" hidden="0" customHeight="1">
      <x:c r="A15" s="48" t="str">
        <x:v>nbs_2025_aquatic_products</x:v>
      </x:c>
      <x:c r="B15" s="48" t="str">
        <x:v>National Bureau of Statistics of China</x:v>
      </x:c>
      <x:c r="C15" s="53" t="str">
        <x:v>2025 national economic and social development statistical communique</x:v>
      </x:c>
      <x:c r="D15" s="53" t="str">
        <x:v>China, 2025; total, aquaculture and capture production</x:v>
      </x:c>
      <x:c r="E15" s="48" t="str">
        <x:v>https://www.stats.gov.cn/sj/zxfb/202602/t20260228_1962662.html</x:v>
      </x:c>
      <x:c r="F15" s="53" t="str">
        <x:v>Statistics extracted and normalized from official HTML</x:v>
      </x:c>
      <x:c r="G15" s="53" t="str">
        <x:v>National Bureau of Statistics website terms apply</x:v>
      </x:c>
      <x:c r="H15" s="53" t="str">
        <x:v>data/public/official_latest_aquatic_products_2025.csv</x:v>
      </x:c>
      <x:c r="I15" s="48" t="str">
        <x:v>2026-07-23</x:v>
      </x:c>
      <x:c r="J15" s="53" t="str">
        <x:v>经过处理的数据（公开来源）; national rows use production-method categories.</x:v>
      </x:c>
    </x:row>
    <x:row r="16" ht="46" hidden="0" customHeight="1">
      <x:c r="A16" s="48" t="str">
        <x:v>zhejiang_2025_aquatic_products</x:v>
      </x:c>
      <x:c r="B16" s="48" t="str">
        <x:v>Zhejiang Provincial Bureau of Statistics / NBS Zhejiang Survey Office</x:v>
      </x:c>
      <x:c r="C16" s="53" t="str">
        <x:v>2025 Zhejiang economic and social development statistical communique</x:v>
      </x:c>
      <x:c r="D16" s="53" t="str">
        <x:v>Zhejiang, 2025; total, marine and freshwater production</x:v>
      </x:c>
      <x:c r="E16" s="48" t="str">
        <x:v>https://zjzd.stats.gov.cn/zwgk/zfxxgkml/tjxx/tjgb/art/2026/art_48c3c7315981425f9c25b53eab4d65d0.html</x:v>
      </x:c>
      <x:c r="F16" s="53" t="str">
        <x:v>Statistics extracted and normalized from official HTML</x:v>
      </x:c>
      <x:c r="G16" s="53" t="str">
        <x:v>Zhejiang statistics website terms apply</x:v>
      </x:c>
      <x:c r="H16" s="53" t="str">
        <x:v>data/public/official_latest_aquatic_products_2025.csv</x:v>
      </x:c>
      <x:c r="I16" s="48" t="str">
        <x:v>2026-07-23</x:v>
      </x:c>
      <x:c r="J16" s="53" t="str">
        <x:v>经过处理的数据（公开来源）; Zhejiang rows use water-body categories.</x:v>
      </x:c>
    </x:row>
    <x:row r="17" ht="46" hidden="0" customHeight="1">
      <x:c r="A17" s="48" t="str">
        <x:v>nbs_a0407</x:v>
      </x:c>
      <x:c r="B17" s="48" t="str">
        <x:v>National Bureau of Statistics of China</x:v>
      </x:c>
      <x:c r="C17" s="53" t="str">
        <x:v>Provincial annual aquatic-product production indicator A0407</x:v>
      </x:c>
      <x:c r="D17" s="53" t="str">
        <x:v>31 provincial-level regions; coverage depends on sub-indicator</x:v>
      </x:c>
      <x:c r="E17" s="48" t="str">
        <x:v>https://data.stats.gov.cn/easyquery.htm?cn=E0103&amp;zb=A0407</x:v>
      </x:c>
      <x:c r="F17" s="53" t="str">
        <x:v>Link and indicator code documented; automated endpoint returned HTTP 403 during retrieval</x:v>
      </x:c>
      <x:c r="G17" s="53" t="str">
        <x:v>National Bureau of Statistics website terms apply</x:v>
      </x:c>
      <x:c r="H17" s="53" t="str"/>
      <x:c r="I17" s="48" t="str">
        <x:v>2026-07-23</x:v>
      </x:c>
      <x:c r="J17" s="53" t="str">
        <x:v>Not redistributed because a reliable machine-readable download could not be obtained from the official endpoint.</x:v>
      </x:c>
    </x:row>
    <x:row r="18" ht="46" hidden="0" customHeight="1">
      <x:c r="A18" s="48" t="str">
        <x:v>china_fisheries_statistical_yearbook</x:v>
      </x:c>
      <x:c r="B18" s="48" t="str">
        <x:v>China Agriculture Press / Ministry statistical system</x:v>
      </x:c>
      <x:c r="C18" s="53" t="str">
        <x:v>China Fisheries Statistical Yearbook</x:v>
      </x:c>
      <x:c r="D18" s="53" t="str">
        <x:v>Province-level detailed fishery statistics</x:v>
      </x:c>
      <x:c r="E18" s="48" t="str">
        <x:v>https://www.stats.gov.cn/fw/bmdcxmsp/bmzd/202302/t20230215_1907093.html</x:v>
      </x:c>
      <x:c r="F18" s="53" t="str">
        <x:v>Commercial/copyrighted yearbook; not copied</x:v>
      </x:c>
      <x:c r="G18" s="53" t="str">
        <x:v>Copyrighted publication</x:v>
      </x:c>
      <x:c r="H18" s="53" t="str"/>
      <x:c r="I18" s="48" t="str">
        <x:v>2026-07-23</x:v>
      </x:c>
      <x:c r="J18" s="53" t="str">
        <x:v>The official statistical-system page explains that annual results are published through the yearbook.</x:v>
      </x:c>
    </x:row>
  </x:sheetData>
  <x:pageMargins left="0.7" right="0.7" top="0.75" bottom="0.75" header="0.3" footer="0.3"/>
  <x:tableParts count="1">
    <x:tablePart xmlns:r="http://schemas.openxmlformats.org/officeDocument/2006/relationships" r:id="R6c9f66a50965459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18" hidden="0" customWidth="1"/>
    <x:col min="3" max="3" width="18" hidden="0" customWidth="1"/>
    <x:col min="4" max="4" width="14" hidden="0" customWidth="1"/>
  </x:cols>
  <x:sheetData>
    <x:row r="1" ht="30" customHeight="1">
      <x:c r="A1" s="56" t="str">
        <x:v>Workbook integrity and disclosure checks</x:v>
      </x:c>
      <x:c r="B1" s="56"/>
      <x:c r="C1" s="56"/>
      <x:c r="D1" s="56"/>
    </x:row>
    <x:row r="3">
      <x:c r="A3" s="36" t="str">
        <x:v>Check</x:v>
      </x:c>
      <x:c r="B3" s="36" t="str">
        <x:v>Expected</x:v>
      </x:c>
      <x:c r="C3" s="36" t="str">
        <x:v>Actual</x:v>
      </x:c>
      <x:c r="D3" s="36" t="str">
        <x:v>Result</x:v>
      </x:c>
    </x:row>
    <x:row r="4">
      <x:c r="A4" s="38" t="str">
        <x:v>Province rows</x:v>
      </x:c>
      <x:c r="B4" s="38" t="n">
        <x:v>31</x:v>
      </x:c>
      <x:c r="C4" s="38" t="n">
        <x:f>COUNTA('Province Inputs'!$A$2:$A$32)</x:f>
        <x:v>31</x:v>
      </x:c>
      <x:c r="D4" s="38" t="str">
        <x:f>IF(ABS(B4-C4)&lt;0.0000001,"PASS","FAIL")</x:f>
        <x:v>PASS</x:v>
      </x:c>
    </x:row>
    <x:row r="5">
      <x:c r="A5" s="38" t="str">
        <x:v>Decision/coefficient rows</x:v>
      </x:c>
      <x:c r="B5" s="38" t="n">
        <x:v>248</x:v>
      </x:c>
      <x:c r="C5" s="38" t="n">
        <x:f>COUNTA('Coefficient Matrix'!$A$2:$A$249)</x:f>
        <x:v>248</x:v>
      </x:c>
      <x:c r="D5" s="38" t="str">
        <x:f>IF(ABS(B5-C5)&lt;0.0000001,"PASS","FAIL")</x:f>
        <x:v>PASS</x:v>
      </x:c>
    </x:row>
    <x:row r="6">
      <x:c r="A6" s="38" t="str">
        <x:v>Sector-mode rows</x:v>
      </x:c>
      <x:c r="B6" s="38" t="n">
        <x:v>8</x:v>
      </x:c>
      <x:c r="C6" s="38" t="n">
        <x:f>COUNTA('Sector-Mode Coeff'!$A$2:$A$9)</x:f>
        <x:v>8</x:v>
      </x:c>
      <x:c r="D6" s="38" t="str">
        <x:f>IF(ABS(B6-C6)&lt;0.0000001,"PASS","FAIL")</x:f>
        <x:v>PASS</x:v>
      </x:c>
    </x:row>
    <x:row r="7">
      <x:c r="A7" s="38" t="str">
        <x:v>Region shares sum</x:v>
      </x:c>
      <x:c r="B7" s="38" t="n">
        <x:v>1</x:v>
      </x:c>
      <x:c r="C7" s="57" t="n">
        <x:f>SUM('Province Inputs'!$E$2:$E$32)</x:f>
        <x:v>1</x:v>
      </x:c>
      <x:c r="D7" s="38" t="str">
        <x:f>IF(ABS(B7-C7)&lt;0.0000001,"PASS","FAIL")</x:f>
        <x:v>PASS</x:v>
      </x:c>
    </x:row>
    <x:row r="8">
      <x:c r="A8" s="38" t="str">
        <x:v>All matrix rows labelled non-original</x:v>
      </x:c>
      <x:c r="B8" s="38" t="n">
        <x:v>248</x:v>
      </x:c>
      <x:c r="C8" s="38" t="n">
        <x:f>COUNTIF('Coefficient Matrix'!$W$2:$W$249,"calibrated reconstruction; not historical author input")</x:f>
        <x:v>248</x:v>
      </x:c>
      <x:c r="D8" s="38" t="str">
        <x:f>IF(ABS(B8-C8)&lt;0.0000001,"PASS","FAIL")</x:f>
        <x:v>PASS</x:v>
      </x:c>
    </x:row>
    <x:row r="9">
      <x:c r="A9" s="38" t="str">
        <x:v>Unavailable items allowed to be described as original</x:v>
      </x:c>
      <x:c r="B9" s="38" t="n">
        <x:v>0</x:v>
      </x:c>
      <x:c r="C9" s="38" t="n">
        <x:f>COUNTIF('Availability'!$F$2:$F$200,"yes")</x:f>
        <x:v>0</x:v>
      </x:c>
      <x:c r="D9" s="38" t="str">
        <x:f>IF(ABS(B9-C9)&lt;0.0000001,"PASS","FAIL")</x:f>
        <x:v>PASS</x:v>
      </x:c>
    </x:row>
  </x:sheetData>
  <x:mergeCells>
    <x:mergeCell ref="A1:D1"/>
  </x:mergeCells>
  <x:conditionalFormatting sqref="D4:D9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